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0A12BD8-DECB-4DF7-8D96-9028E3C119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Sheet1!$B$1:$G$359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2" i="1"/>
  <c r="N364" i="1" s="1"/>
  <c r="O364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2" i="1"/>
  <c r="K364" i="1" s="1"/>
  <c r="L364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I364" i="1" s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2" i="1"/>
  <c r="H299" i="1"/>
  <c r="H295" i="1"/>
  <c r="H296" i="1"/>
  <c r="H297" i="1"/>
  <c r="H298" i="1"/>
  <c r="J364" i="1" l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D364" i="1" l="1"/>
  <c r="G364" i="1" s="1"/>
  <c r="D304" i="1"/>
  <c r="D303" i="1"/>
  <c r="D302" i="1"/>
  <c r="E364" i="1" l="1"/>
</calcChain>
</file>

<file path=xl/sharedStrings.xml><?xml version="1.0" encoding="utf-8"?>
<sst xmlns="http://schemas.openxmlformats.org/spreadsheetml/2006/main" count="708" uniqueCount="25">
  <si>
    <t>Pronóstico Inferior</t>
  </si>
  <si>
    <t>Pronóstico Superior</t>
  </si>
  <si>
    <t>Ciudad</t>
  </si>
  <si>
    <t>Guayaquil</t>
  </si>
  <si>
    <t>Pronóstico (SARIMAX)</t>
  </si>
  <si>
    <t>Asertividad</t>
  </si>
  <si>
    <t>MAPE:</t>
  </si>
  <si>
    <t>Fecha</t>
  </si>
  <si>
    <t>Precipitación</t>
  </si>
  <si>
    <t>MAPE_Sarimax</t>
  </si>
  <si>
    <t>Ajuste y Pronóstico (Modelo 1)
(Train, test, forecast)</t>
  </si>
  <si>
    <t>MAPE_MODELO 1</t>
  </si>
  <si>
    <t>Ajuste y Pronóstico (Modelo 2)
(Train, test, forecast)</t>
  </si>
  <si>
    <t>MAPE_MODELO 2</t>
  </si>
  <si>
    <t>Ajuste y Pronóstico (Modelo 3)
(Train, test, forecast)</t>
  </si>
  <si>
    <t>MAPE_MODELO 3</t>
  </si>
  <si>
    <t>asertividad</t>
  </si>
  <si>
    <t>GUAYAQUIL Sarimax</t>
  </si>
  <si>
    <t>GUAYAQUIL Modelo 1</t>
  </si>
  <si>
    <t>GUAYAQUIL Modelo 2</t>
  </si>
  <si>
    <t>Train/test/forescast</t>
  </si>
  <si>
    <t>Train</t>
  </si>
  <si>
    <t>Test</t>
  </si>
  <si>
    <t>Forecast</t>
  </si>
  <si>
    <t>Metricas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</si>
</sst>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9" fontId="0" fillId="0" borderId="0" xfId="1" applyFont="1"/>
    <xf numFmtId="9" fontId="0" fillId="0" borderId="0" xfId="0" applyNumberFormat="1"/>
    <xf numFmtId="9" fontId="4" fillId="0" borderId="0" xfId="0" applyNumberFormat="1" applyFont="1"/>
    <xf numFmtId="0" fontId="4" fillId="0" borderId="0" xfId="0" applyFont="1"/>
    <xf numFmtId="0" fontId="1" fillId="0" borderId="1" xfId="0" applyFont="1" applyBorder="1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9" fontId="0" fillId="2" borderId="0" xfId="1" applyFont="1" applyFill="1"/>
    <xf numFmtId="2" fontId="0" fillId="2" borderId="0" xfId="0" applyNumberForma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9" fontId="4" fillId="3" borderId="0" xfId="0" applyNumberFormat="1" applyFont="1" applyFill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4"/>
  <sheetViews>
    <sheetView tabSelected="1" zoomScale="85" zoomScaleNormal="85" workbookViewId="0">
      <pane ySplit="1" topLeftCell="A342" activePane="bottomLeft" state="frozen"/>
      <selection pane="bottomLeft" activeCell="D364" sqref="D364"/>
    </sheetView>
  </sheetViews>
  <sheetFormatPr baseColWidth="10" defaultColWidth="8.85546875" defaultRowHeight="15" x14ac:dyDescent="0.25"/>
  <cols>
    <col min="1" max="1" width="18.7109375" style="17" bestFit="1" customWidth="1"/>
    <col min="2" max="2" width="19.5703125" bestFit="1" customWidth="1"/>
    <col min="3" max="3" width="23.42578125" style="3" bestFit="1" customWidth="1"/>
    <col min="4" max="4" width="24.5703125" style="3" bestFit="1" customWidth="1"/>
    <col min="5" max="5" width="21.85546875" style="3" hidden="1" customWidth="1"/>
    <col min="6" max="6" width="22.85546875" style="3" hidden="1" customWidth="1"/>
    <col min="7" max="7" width="14.42578125" customWidth="1"/>
    <col min="8" max="8" width="14.28515625" bestFit="1" customWidth="1"/>
    <col min="9" max="9" width="32" customWidth="1"/>
    <col min="10" max="10" width="31.28515625" customWidth="1"/>
    <col min="11" max="11" width="44.7109375" customWidth="1"/>
    <col min="12" max="12" width="24.5703125" customWidth="1"/>
    <col min="13" max="13" width="28" customWidth="1"/>
    <col min="14" max="14" width="26.85546875" customWidth="1"/>
  </cols>
  <sheetData>
    <row r="1" spans="1:14" ht="75.75" customHeight="1" x14ac:dyDescent="0.25">
      <c r="A1" s="17" t="s">
        <v>20</v>
      </c>
      <c r="B1" s="1" t="s">
        <v>7</v>
      </c>
      <c r="C1" s="1" t="s">
        <v>8</v>
      </c>
      <c r="D1" s="1" t="s">
        <v>4</v>
      </c>
      <c r="E1" s="1" t="s">
        <v>0</v>
      </c>
      <c r="F1" s="1" t="s">
        <v>1</v>
      </c>
      <c r="G1" s="1" t="s">
        <v>2</v>
      </c>
      <c r="H1" s="7" t="s">
        <v>9</v>
      </c>
      <c r="I1" s="12" t="s">
        <v>10</v>
      </c>
      <c r="J1" s="7" t="s">
        <v>11</v>
      </c>
      <c r="K1" s="12" t="s">
        <v>12</v>
      </c>
      <c r="L1" s="7" t="s">
        <v>13</v>
      </c>
      <c r="M1" s="12" t="s">
        <v>14</v>
      </c>
      <c r="N1" s="7" t="s">
        <v>15</v>
      </c>
    </row>
    <row r="2" spans="1:14" x14ac:dyDescent="0.25">
      <c r="A2" s="17" t="s">
        <v>21</v>
      </c>
      <c r="B2" s="2">
        <v>36922</v>
      </c>
      <c r="C2" s="3">
        <v>449.64</v>
      </c>
      <c r="D2" s="3">
        <v>344.50012050692197</v>
      </c>
      <c r="E2" s="3">
        <v>252.07768441797461</v>
      </c>
      <c r="F2" s="3">
        <v>432.73631077528108</v>
      </c>
      <c r="G2" t="s">
        <v>3</v>
      </c>
      <c r="H2" s="8">
        <f t="shared" ref="H2:H53" si="0">IFERROR(ABS((C2-D2)/C2),0)</f>
        <v>0.23383124164460015</v>
      </c>
      <c r="I2" s="13">
        <v>328.3741455078125</v>
      </c>
      <c r="J2" s="8">
        <f t="shared" ref="J2:J65" si="1">IFERROR(ABS((C2-I2)/C2),0)</f>
        <v>0.26969543299570209</v>
      </c>
      <c r="K2" s="13">
        <v>313.07943725585938</v>
      </c>
      <c r="L2" s="8">
        <f>IFERROR(ABS((C2-K2)/C2),0)</f>
        <v>0.30371088591793571</v>
      </c>
      <c r="M2" s="13">
        <v>319.08322143554688</v>
      </c>
      <c r="N2" s="8">
        <f>IFERROR(ABS((C2-M2)/C2),0)</f>
        <v>0.29035846135675902</v>
      </c>
    </row>
    <row r="3" spans="1:14" x14ac:dyDescent="0.25">
      <c r="A3" s="17" t="s">
        <v>21</v>
      </c>
      <c r="B3" s="2">
        <v>36950</v>
      </c>
      <c r="C3" s="3">
        <v>374.82</v>
      </c>
      <c r="D3" s="3">
        <v>471.36801420742802</v>
      </c>
      <c r="E3" s="3">
        <v>385.38660034230969</v>
      </c>
      <c r="F3" s="3">
        <v>567.96394999281699</v>
      </c>
      <c r="G3" t="s">
        <v>3</v>
      </c>
      <c r="H3" s="8">
        <f t="shared" si="0"/>
        <v>0.25758501202558037</v>
      </c>
      <c r="I3" s="13">
        <v>468.02008056640619</v>
      </c>
      <c r="J3" s="8">
        <f t="shared" si="1"/>
        <v>0.24865290156983672</v>
      </c>
      <c r="K3" s="13">
        <v>483.16830444335938</v>
      </c>
      <c r="L3" s="8">
        <f t="shared" ref="L3:L66" si="2">IFERROR(ABS((C3-K3)/C3),0)</f>
        <v>0.28906756427981267</v>
      </c>
      <c r="M3" s="13">
        <v>442.74212646484381</v>
      </c>
      <c r="N3" s="8">
        <f t="shared" ref="N3:N66" si="3">IFERROR(ABS((C3-M3)/C3),0)</f>
        <v>0.18121265264618702</v>
      </c>
    </row>
    <row r="4" spans="1:14" x14ac:dyDescent="0.25">
      <c r="A4" s="17" t="s">
        <v>21</v>
      </c>
      <c r="B4" s="2">
        <v>36981</v>
      </c>
      <c r="C4" s="3">
        <v>500.27</v>
      </c>
      <c r="D4" s="3">
        <v>494.06435796313002</v>
      </c>
      <c r="E4" s="3">
        <v>404.09108467503239</v>
      </c>
      <c r="F4" s="3">
        <v>587.78211248481125</v>
      </c>
      <c r="G4" t="s">
        <v>3</v>
      </c>
      <c r="H4" s="8">
        <f t="shared" si="0"/>
        <v>1.2404585597517262E-2</v>
      </c>
      <c r="I4" s="13">
        <v>464.32583618164063</v>
      </c>
      <c r="J4" s="8">
        <f t="shared" si="1"/>
        <v>7.1849528891117509E-2</v>
      </c>
      <c r="K4" s="13">
        <v>472.22833251953119</v>
      </c>
      <c r="L4" s="8">
        <f t="shared" si="2"/>
        <v>5.6053066305132807E-2</v>
      </c>
      <c r="M4" s="13">
        <v>444.37820434570313</v>
      </c>
      <c r="N4" s="8">
        <f t="shared" si="3"/>
        <v>0.1117232607477899</v>
      </c>
    </row>
    <row r="5" spans="1:14" x14ac:dyDescent="0.25">
      <c r="A5" s="17" t="s">
        <v>21</v>
      </c>
      <c r="B5" s="2">
        <v>37011</v>
      </c>
      <c r="C5" s="3">
        <v>556.93000000000006</v>
      </c>
      <c r="D5" s="3">
        <v>422.97058324359517</v>
      </c>
      <c r="E5" s="3">
        <v>331.94715671858938</v>
      </c>
      <c r="F5" s="3">
        <v>515.25013866686356</v>
      </c>
      <c r="G5" t="s">
        <v>3</v>
      </c>
      <c r="H5" s="8">
        <f t="shared" si="0"/>
        <v>0.24053187430449943</v>
      </c>
      <c r="I5" s="13">
        <v>427.85992431640619</v>
      </c>
      <c r="J5" s="8">
        <f t="shared" si="1"/>
        <v>0.23175277985311235</v>
      </c>
      <c r="K5" s="13">
        <v>430.44534301757813</v>
      </c>
      <c r="L5" s="8">
        <f t="shared" si="2"/>
        <v>0.22711051116374037</v>
      </c>
      <c r="M5" s="13">
        <v>454.24124145507813</v>
      </c>
      <c r="N5" s="8">
        <f t="shared" si="3"/>
        <v>0.1843836003535847</v>
      </c>
    </row>
    <row r="6" spans="1:14" x14ac:dyDescent="0.25">
      <c r="A6" s="17" t="s">
        <v>21</v>
      </c>
      <c r="B6" s="2">
        <v>37042</v>
      </c>
      <c r="C6" s="3">
        <v>359.7</v>
      </c>
      <c r="D6" s="3">
        <v>304.24542257343109</v>
      </c>
      <c r="E6" s="3">
        <v>214.42857306663799</v>
      </c>
      <c r="F6" s="3">
        <v>396.27242065794388</v>
      </c>
      <c r="G6" t="s">
        <v>3</v>
      </c>
      <c r="H6" s="8">
        <f t="shared" si="0"/>
        <v>0.15416896699073923</v>
      </c>
      <c r="I6" s="13">
        <v>336.70162963867188</v>
      </c>
      <c r="J6" s="8">
        <f t="shared" si="1"/>
        <v>6.3937643484370629E-2</v>
      </c>
      <c r="K6" s="13">
        <v>342.45501708984381</v>
      </c>
      <c r="L6" s="8">
        <f t="shared" si="2"/>
        <v>4.7942682541440594E-2</v>
      </c>
      <c r="M6" s="13">
        <v>326.60531616210938</v>
      </c>
      <c r="N6" s="8">
        <f t="shared" si="3"/>
        <v>9.2006349285211605E-2</v>
      </c>
    </row>
    <row r="7" spans="1:14" x14ac:dyDescent="0.25">
      <c r="A7" s="17" t="s">
        <v>21</v>
      </c>
      <c r="B7" s="2">
        <v>37072</v>
      </c>
      <c r="C7" s="3">
        <v>141.38</v>
      </c>
      <c r="D7" s="3">
        <v>197.35046575233639</v>
      </c>
      <c r="E7" s="3">
        <v>104.68960316180311</v>
      </c>
      <c r="F7" s="3">
        <v>292.13566040635141</v>
      </c>
      <c r="G7" t="s">
        <v>3</v>
      </c>
      <c r="H7" s="8">
        <f t="shared" si="0"/>
        <v>0.39588672904467676</v>
      </c>
      <c r="I7" s="13">
        <v>204.97027587890619</v>
      </c>
      <c r="J7" s="8">
        <f t="shared" si="1"/>
        <v>0.44978268410599942</v>
      </c>
      <c r="K7" s="13">
        <v>205.0576171875</v>
      </c>
      <c r="L7" s="8">
        <f t="shared" si="2"/>
        <v>0.45040046108006793</v>
      </c>
      <c r="M7" s="13">
        <v>159.24592590332031</v>
      </c>
      <c r="N7" s="8">
        <f t="shared" si="3"/>
        <v>0.12636812776432535</v>
      </c>
    </row>
    <row r="8" spans="1:14" x14ac:dyDescent="0.25">
      <c r="A8" s="17" t="s">
        <v>21</v>
      </c>
      <c r="B8" s="2">
        <v>37103</v>
      </c>
      <c r="C8" s="3">
        <v>199.37</v>
      </c>
      <c r="D8" s="3">
        <v>161.84820716815659</v>
      </c>
      <c r="E8" s="3">
        <v>69.985561200491645</v>
      </c>
      <c r="F8" s="3">
        <v>256.32858244681557</v>
      </c>
      <c r="G8" t="s">
        <v>3</v>
      </c>
      <c r="H8" s="8">
        <f t="shared" si="0"/>
        <v>0.18820179982867741</v>
      </c>
      <c r="I8" s="13">
        <v>121.9041061401367</v>
      </c>
      <c r="J8" s="8">
        <f t="shared" si="1"/>
        <v>0.38855341254884534</v>
      </c>
      <c r="K8" s="13">
        <v>134.01292419433591</v>
      </c>
      <c r="L8" s="8">
        <f t="shared" si="2"/>
        <v>0.32781800574642173</v>
      </c>
      <c r="M8" s="13">
        <v>125.5583953857422</v>
      </c>
      <c r="N8" s="8">
        <f t="shared" si="3"/>
        <v>0.37022422939387972</v>
      </c>
    </row>
    <row r="9" spans="1:14" x14ac:dyDescent="0.25">
      <c r="A9" s="17" t="s">
        <v>21</v>
      </c>
      <c r="B9" s="2">
        <v>37134</v>
      </c>
      <c r="C9" s="3">
        <v>30.76</v>
      </c>
      <c r="D9" s="3">
        <v>145.05630958691319</v>
      </c>
      <c r="E9" s="3">
        <v>60.337438444756607</v>
      </c>
      <c r="F9" s="3">
        <v>237.69335686274931</v>
      </c>
      <c r="G9" t="s">
        <v>3</v>
      </c>
      <c r="H9" s="8">
        <f t="shared" si="0"/>
        <v>3.7157447850101812</v>
      </c>
      <c r="I9" s="13">
        <v>96.041030883789063</v>
      </c>
      <c r="J9" s="8">
        <f t="shared" si="1"/>
        <v>2.1222701847785777</v>
      </c>
      <c r="K9" s="13">
        <v>102.6777877807617</v>
      </c>
      <c r="L9" s="8">
        <f t="shared" si="2"/>
        <v>2.3380295117282737</v>
      </c>
      <c r="M9" s="13">
        <v>82.721420288085938</v>
      </c>
      <c r="N9" s="8">
        <f t="shared" si="3"/>
        <v>1.6892529352433656</v>
      </c>
    </row>
    <row r="10" spans="1:14" x14ac:dyDescent="0.25">
      <c r="A10" s="17" t="s">
        <v>21</v>
      </c>
      <c r="B10" s="2">
        <v>37164</v>
      </c>
      <c r="C10" s="3">
        <v>165.84</v>
      </c>
      <c r="D10" s="3">
        <v>179.75234373083691</v>
      </c>
      <c r="E10" s="3">
        <v>92.662453068946064</v>
      </c>
      <c r="F10" s="3">
        <v>267.45595078915437</v>
      </c>
      <c r="G10" t="s">
        <v>3</v>
      </c>
      <c r="H10" s="8">
        <f t="shared" si="0"/>
        <v>8.3890157566551549E-2</v>
      </c>
      <c r="I10" s="13">
        <v>89.636054992675781</v>
      </c>
      <c r="J10" s="8">
        <f t="shared" si="1"/>
        <v>0.45950280395154497</v>
      </c>
      <c r="K10" s="13">
        <v>95.058563232421875</v>
      </c>
      <c r="L10" s="8">
        <f t="shared" si="2"/>
        <v>0.42680557626373689</v>
      </c>
      <c r="M10" s="13">
        <v>102.1608810424805</v>
      </c>
      <c r="N10" s="8">
        <f t="shared" si="3"/>
        <v>0.38397925082923001</v>
      </c>
    </row>
    <row r="11" spans="1:14" x14ac:dyDescent="0.25">
      <c r="A11" s="17" t="s">
        <v>21</v>
      </c>
      <c r="B11" s="2">
        <v>37195</v>
      </c>
      <c r="C11" s="3">
        <v>30.56</v>
      </c>
      <c r="D11" s="3">
        <v>115.8811178376977</v>
      </c>
      <c r="E11" s="3">
        <v>19.613694174137809</v>
      </c>
      <c r="F11" s="3">
        <v>202.26553574443719</v>
      </c>
      <c r="G11" t="s">
        <v>3</v>
      </c>
      <c r="H11" s="8">
        <f t="shared" si="0"/>
        <v>2.7919213952126212</v>
      </c>
      <c r="I11" s="13">
        <v>86.118621826171875</v>
      </c>
      <c r="J11" s="8">
        <f t="shared" si="1"/>
        <v>1.8180177299140012</v>
      </c>
      <c r="K11" s="13">
        <v>102.0594940185547</v>
      </c>
      <c r="L11" s="8">
        <f t="shared" si="2"/>
        <v>2.3396431288794077</v>
      </c>
      <c r="M11" s="13">
        <v>96.668632507324219</v>
      </c>
      <c r="N11" s="8">
        <f t="shared" si="3"/>
        <v>2.1632405925171536</v>
      </c>
    </row>
    <row r="12" spans="1:14" x14ac:dyDescent="0.25">
      <c r="A12" s="17" t="s">
        <v>21</v>
      </c>
      <c r="B12" s="2">
        <v>37225</v>
      </c>
      <c r="C12" s="3">
        <v>74.31</v>
      </c>
      <c r="D12" s="3">
        <v>107.3187048521017</v>
      </c>
      <c r="E12" s="3">
        <v>16.99257807099923</v>
      </c>
      <c r="F12" s="3">
        <v>199.3726175109424</v>
      </c>
      <c r="G12" t="s">
        <v>3</v>
      </c>
      <c r="H12" s="8">
        <f t="shared" si="0"/>
        <v>0.4442027298089315</v>
      </c>
      <c r="I12" s="13">
        <v>73.871826171875</v>
      </c>
      <c r="J12" s="8">
        <f t="shared" si="1"/>
        <v>5.8965661166061403E-3</v>
      </c>
      <c r="K12" s="13">
        <v>91.63226318359375</v>
      </c>
      <c r="L12" s="8">
        <f t="shared" si="2"/>
        <v>0.23310810366833196</v>
      </c>
      <c r="M12" s="13">
        <v>91.453086853027344</v>
      </c>
      <c r="N12" s="8">
        <f t="shared" si="3"/>
        <v>0.23069690288019568</v>
      </c>
    </row>
    <row r="13" spans="1:14" x14ac:dyDescent="0.25">
      <c r="A13" s="17" t="s">
        <v>21</v>
      </c>
      <c r="B13" s="2">
        <v>37256</v>
      </c>
      <c r="C13" s="3">
        <v>94.4</v>
      </c>
      <c r="D13" s="3">
        <v>126.96996709442681</v>
      </c>
      <c r="E13" s="3">
        <v>36.178660550102997</v>
      </c>
      <c r="F13" s="3">
        <v>218.6839708051476</v>
      </c>
      <c r="G13" t="s">
        <v>3</v>
      </c>
      <c r="H13" s="8">
        <f t="shared" si="0"/>
        <v>0.34502083786469068</v>
      </c>
      <c r="I13" s="13">
        <v>98.547218322753906</v>
      </c>
      <c r="J13" s="8">
        <f t="shared" si="1"/>
        <v>4.3932397486799793E-2</v>
      </c>
      <c r="K13" s="13">
        <v>111.0730743408203</v>
      </c>
      <c r="L13" s="8">
        <f t="shared" si="2"/>
        <v>0.17662155022055392</v>
      </c>
      <c r="M13" s="13">
        <v>105.6057662963867</v>
      </c>
      <c r="N13" s="8">
        <f t="shared" si="3"/>
        <v>0.11870515144477435</v>
      </c>
    </row>
    <row r="14" spans="1:14" x14ac:dyDescent="0.25">
      <c r="A14" s="17" t="s">
        <v>21</v>
      </c>
      <c r="B14" s="2">
        <v>37287</v>
      </c>
      <c r="C14" s="3">
        <v>220.38</v>
      </c>
      <c r="D14" s="3">
        <v>340.92213267903492</v>
      </c>
      <c r="E14" s="3">
        <v>246.86851243124281</v>
      </c>
      <c r="F14" s="3">
        <v>429.78265967271102</v>
      </c>
      <c r="G14" t="s">
        <v>3</v>
      </c>
      <c r="H14" s="8">
        <f t="shared" si="0"/>
        <v>0.54697401161191994</v>
      </c>
      <c r="I14" s="13">
        <v>279.5621337890625</v>
      </c>
      <c r="J14" s="8">
        <f t="shared" si="1"/>
        <v>0.26854584712343454</v>
      </c>
      <c r="K14" s="13">
        <v>261.79171752929688</v>
      </c>
      <c r="L14" s="8">
        <f t="shared" si="2"/>
        <v>0.18791050698473946</v>
      </c>
      <c r="M14" s="13">
        <v>255.88591003417969</v>
      </c>
      <c r="N14" s="8">
        <f t="shared" si="3"/>
        <v>0.16111221541963741</v>
      </c>
    </row>
    <row r="15" spans="1:14" x14ac:dyDescent="0.25">
      <c r="A15" s="17" t="s">
        <v>21</v>
      </c>
      <c r="B15" s="2">
        <v>37315</v>
      </c>
      <c r="C15" s="3">
        <v>583.63</v>
      </c>
      <c r="D15" s="3">
        <v>463.14620719471861</v>
      </c>
      <c r="E15" s="3">
        <v>377.18026402740162</v>
      </c>
      <c r="F15" s="3">
        <v>552.22476649881003</v>
      </c>
      <c r="G15" t="s">
        <v>3</v>
      </c>
      <c r="H15" s="8">
        <f t="shared" si="0"/>
        <v>0.20643865600685601</v>
      </c>
      <c r="I15" s="13">
        <v>383.33737182617188</v>
      </c>
      <c r="J15" s="8">
        <f t="shared" si="1"/>
        <v>0.34318425744706083</v>
      </c>
      <c r="K15" s="13">
        <v>377.72616577148438</v>
      </c>
      <c r="L15" s="8">
        <f t="shared" si="2"/>
        <v>0.35279857825765576</v>
      </c>
      <c r="M15" s="13">
        <v>501.89993286132813</v>
      </c>
      <c r="N15" s="8">
        <f t="shared" si="3"/>
        <v>0.14003746746855347</v>
      </c>
    </row>
    <row r="16" spans="1:14" x14ac:dyDescent="0.25">
      <c r="A16" s="17" t="s">
        <v>21</v>
      </c>
      <c r="B16" s="2">
        <v>37346</v>
      </c>
      <c r="C16" s="3">
        <v>533.32000000000005</v>
      </c>
      <c r="D16" s="3">
        <v>475.1209514736878</v>
      </c>
      <c r="E16" s="3">
        <v>383.85600806558551</v>
      </c>
      <c r="F16" s="3">
        <v>569.55832230952933</v>
      </c>
      <c r="G16" t="s">
        <v>3</v>
      </c>
      <c r="H16" s="8">
        <f t="shared" si="0"/>
        <v>0.10912594413543886</v>
      </c>
      <c r="I16" s="13">
        <v>486.94595336914063</v>
      </c>
      <c r="J16" s="8">
        <f t="shared" si="1"/>
        <v>8.6953511270643186E-2</v>
      </c>
      <c r="K16" s="13">
        <v>504.9693603515625</v>
      </c>
      <c r="L16" s="8">
        <f t="shared" si="2"/>
        <v>5.3158778310278161E-2</v>
      </c>
      <c r="M16" s="13">
        <v>510.52984619140619</v>
      </c>
      <c r="N16" s="8">
        <f t="shared" si="3"/>
        <v>4.2732606706281137E-2</v>
      </c>
    </row>
    <row r="17" spans="1:14" x14ac:dyDescent="0.25">
      <c r="A17" s="17" t="s">
        <v>21</v>
      </c>
      <c r="B17" s="2">
        <v>37376</v>
      </c>
      <c r="C17" s="3">
        <v>571.24</v>
      </c>
      <c r="D17" s="3">
        <v>432.74399831191528</v>
      </c>
      <c r="E17" s="3">
        <v>339.21802256290528</v>
      </c>
      <c r="F17" s="3">
        <v>522.4215136523469</v>
      </c>
      <c r="G17" t="s">
        <v>3</v>
      </c>
      <c r="H17" s="8">
        <f t="shared" si="0"/>
        <v>0.24244801079771153</v>
      </c>
      <c r="I17" s="13">
        <v>427.858642578125</v>
      </c>
      <c r="J17" s="8">
        <f t="shared" si="1"/>
        <v>0.2510002055561148</v>
      </c>
      <c r="K17" s="13">
        <v>427.17669677734381</v>
      </c>
      <c r="L17" s="8">
        <f t="shared" si="2"/>
        <v>0.25219400466118652</v>
      </c>
      <c r="M17" s="13">
        <v>467.6314697265625</v>
      </c>
      <c r="N17" s="8">
        <f t="shared" si="3"/>
        <v>0.18137478165646226</v>
      </c>
    </row>
    <row r="18" spans="1:14" x14ac:dyDescent="0.25">
      <c r="A18" s="17" t="s">
        <v>21</v>
      </c>
      <c r="B18" s="2">
        <v>37407</v>
      </c>
      <c r="C18" s="3">
        <v>235.48</v>
      </c>
      <c r="D18" s="3">
        <v>285.30432915187902</v>
      </c>
      <c r="E18" s="3">
        <v>194.55365687283731</v>
      </c>
      <c r="F18" s="3">
        <v>372.75274234826952</v>
      </c>
      <c r="G18" t="s">
        <v>3</v>
      </c>
      <c r="H18" s="8">
        <f t="shared" si="0"/>
        <v>0.21158624576133442</v>
      </c>
      <c r="I18" s="13">
        <v>297.69921875</v>
      </c>
      <c r="J18" s="8">
        <f t="shared" si="1"/>
        <v>0.26422294356208603</v>
      </c>
      <c r="K18" s="13">
        <v>309.48187255859381</v>
      </c>
      <c r="L18" s="8">
        <f t="shared" si="2"/>
        <v>0.31425969321638281</v>
      </c>
      <c r="M18" s="13">
        <v>281.2386474609375</v>
      </c>
      <c r="N18" s="8">
        <f t="shared" si="3"/>
        <v>0.19432073832570712</v>
      </c>
    </row>
    <row r="19" spans="1:14" x14ac:dyDescent="0.25">
      <c r="A19" s="17" t="s">
        <v>21</v>
      </c>
      <c r="B19" s="2">
        <v>37437</v>
      </c>
      <c r="C19" s="3">
        <v>126.16</v>
      </c>
      <c r="D19" s="3">
        <v>213.1338625110987</v>
      </c>
      <c r="E19" s="3">
        <v>120.5585462033296</v>
      </c>
      <c r="F19" s="3">
        <v>302.03882831054199</v>
      </c>
      <c r="G19" t="s">
        <v>3</v>
      </c>
      <c r="H19" s="8">
        <f t="shared" si="0"/>
        <v>0.68939332998651481</v>
      </c>
      <c r="I19" s="13">
        <v>166.91502380371091</v>
      </c>
      <c r="J19" s="8">
        <f t="shared" si="1"/>
        <v>0.32304235735344733</v>
      </c>
      <c r="K19" s="13">
        <v>168.13908386230469</v>
      </c>
      <c r="L19" s="8">
        <f t="shared" si="2"/>
        <v>0.33274479916221222</v>
      </c>
      <c r="M19" s="13">
        <v>151.8098449707031</v>
      </c>
      <c r="N19" s="8">
        <f t="shared" si="3"/>
        <v>0.20331202418122304</v>
      </c>
    </row>
    <row r="20" spans="1:14" x14ac:dyDescent="0.25">
      <c r="A20" s="17" t="s">
        <v>21</v>
      </c>
      <c r="B20" s="2">
        <v>37468</v>
      </c>
      <c r="C20" s="3">
        <v>106.69</v>
      </c>
      <c r="D20" s="3">
        <v>137.39339290323181</v>
      </c>
      <c r="E20" s="3">
        <v>42.453118806719203</v>
      </c>
      <c r="F20" s="3">
        <v>220.40529812745311</v>
      </c>
      <c r="G20" t="s">
        <v>3</v>
      </c>
      <c r="H20" s="8">
        <f t="shared" si="0"/>
        <v>0.28778135629610851</v>
      </c>
      <c r="I20" s="13">
        <v>108.47108459472661</v>
      </c>
      <c r="J20" s="8">
        <f t="shared" si="1"/>
        <v>1.6694016259505177E-2</v>
      </c>
      <c r="K20" s="13">
        <v>113.707145690918</v>
      </c>
      <c r="L20" s="8">
        <f t="shared" si="2"/>
        <v>6.5771353368806823E-2</v>
      </c>
      <c r="M20" s="13">
        <v>91.398292541503906</v>
      </c>
      <c r="N20" s="8">
        <f t="shared" si="3"/>
        <v>0.14332840433495259</v>
      </c>
    </row>
    <row r="21" spans="1:14" x14ac:dyDescent="0.25">
      <c r="A21" s="17" t="s">
        <v>21</v>
      </c>
      <c r="B21" s="2">
        <v>37499</v>
      </c>
      <c r="C21" s="3">
        <v>47.35</v>
      </c>
      <c r="D21" s="3">
        <v>109.5398673278176</v>
      </c>
      <c r="E21" s="3">
        <v>19.665706746896319</v>
      </c>
      <c r="F21" s="3">
        <v>205.80911245116329</v>
      </c>
      <c r="G21" t="s">
        <v>3</v>
      </c>
      <c r="H21" s="8">
        <f t="shared" si="0"/>
        <v>1.3134079689085025</v>
      </c>
      <c r="I21" s="13">
        <v>88.652267456054688</v>
      </c>
      <c r="J21" s="8">
        <f t="shared" si="1"/>
        <v>0.87227597584064809</v>
      </c>
      <c r="K21" s="13">
        <v>76.80224609375</v>
      </c>
      <c r="L21" s="8">
        <f t="shared" si="2"/>
        <v>0.62201153313093971</v>
      </c>
      <c r="M21" s="13">
        <v>84.925018310546875</v>
      </c>
      <c r="N21" s="8">
        <f t="shared" si="3"/>
        <v>0.7935589928309793</v>
      </c>
    </row>
    <row r="22" spans="1:14" x14ac:dyDescent="0.25">
      <c r="A22" s="17" t="s">
        <v>21</v>
      </c>
      <c r="B22" s="2">
        <v>37529</v>
      </c>
      <c r="C22" s="3">
        <v>104.03</v>
      </c>
      <c r="D22" s="3">
        <v>118.82218265973439</v>
      </c>
      <c r="E22" s="3">
        <v>29.36307951753556</v>
      </c>
      <c r="F22" s="3">
        <v>204.83443990828911</v>
      </c>
      <c r="G22" t="s">
        <v>3</v>
      </c>
      <c r="H22" s="8">
        <f t="shared" si="0"/>
        <v>0.14219150879298659</v>
      </c>
      <c r="I22" s="13">
        <v>87.07745361328125</v>
      </c>
      <c r="J22" s="8">
        <f t="shared" si="1"/>
        <v>0.16295824653194993</v>
      </c>
      <c r="K22" s="13">
        <v>88.824020385742188</v>
      </c>
      <c r="L22" s="8">
        <f t="shared" si="2"/>
        <v>0.14616917825875048</v>
      </c>
      <c r="M22" s="13">
        <v>97.785873413085938</v>
      </c>
      <c r="N22" s="8">
        <f t="shared" si="3"/>
        <v>6.0022364576699641E-2</v>
      </c>
    </row>
    <row r="23" spans="1:14" x14ac:dyDescent="0.25">
      <c r="A23" s="17" t="s">
        <v>21</v>
      </c>
      <c r="B23" s="2">
        <v>37560</v>
      </c>
      <c r="C23" s="3">
        <v>141.55000000000001</v>
      </c>
      <c r="D23" s="3">
        <v>130.07345288277489</v>
      </c>
      <c r="E23" s="3">
        <v>36.746637998693593</v>
      </c>
      <c r="F23" s="3">
        <v>216.88791662723179</v>
      </c>
      <c r="G23" t="s">
        <v>3</v>
      </c>
      <c r="H23" s="8">
        <f t="shared" si="0"/>
        <v>8.1077690690392959E-2</v>
      </c>
      <c r="I23" s="13">
        <v>82.402641296386719</v>
      </c>
      <c r="J23" s="8">
        <f t="shared" si="1"/>
        <v>0.41785488310571028</v>
      </c>
      <c r="K23" s="13">
        <v>96.709152221679688</v>
      </c>
      <c r="L23" s="8">
        <f t="shared" si="2"/>
        <v>0.31678451273981151</v>
      </c>
      <c r="M23" s="13">
        <v>87.606605529785156</v>
      </c>
      <c r="N23" s="8">
        <f t="shared" si="3"/>
        <v>0.3810907415769329</v>
      </c>
    </row>
    <row r="24" spans="1:14" x14ac:dyDescent="0.25">
      <c r="A24" s="17" t="s">
        <v>21</v>
      </c>
      <c r="B24" s="2">
        <v>37590</v>
      </c>
      <c r="C24" s="3">
        <v>219.49</v>
      </c>
      <c r="D24" s="3">
        <v>91.769061201567041</v>
      </c>
      <c r="E24" s="3">
        <v>7.5058126612119311</v>
      </c>
      <c r="F24" s="3">
        <v>192.3361190345272</v>
      </c>
      <c r="G24" t="s">
        <v>3</v>
      </c>
      <c r="H24" s="8">
        <f t="shared" si="0"/>
        <v>0.58189866872492124</v>
      </c>
      <c r="I24" s="13">
        <v>69.33746337890625</v>
      </c>
      <c r="J24" s="8">
        <f t="shared" si="1"/>
        <v>0.6840973922324195</v>
      </c>
      <c r="K24" s="13">
        <v>85.08807373046875</v>
      </c>
      <c r="L24" s="8">
        <f t="shared" si="2"/>
        <v>0.61233735600497174</v>
      </c>
      <c r="M24" s="13">
        <v>87.94622802734375</v>
      </c>
      <c r="N24" s="8">
        <f t="shared" si="3"/>
        <v>0.59931555867081077</v>
      </c>
    </row>
    <row r="25" spans="1:14" x14ac:dyDescent="0.25">
      <c r="A25" s="17" t="s">
        <v>21</v>
      </c>
      <c r="B25" s="2">
        <v>37621</v>
      </c>
      <c r="C25" s="3">
        <v>179.18</v>
      </c>
      <c r="D25" s="3">
        <v>152.63909134365031</v>
      </c>
      <c r="E25" s="3">
        <v>54.138482267926513</v>
      </c>
      <c r="F25" s="3">
        <v>245.8320291200092</v>
      </c>
      <c r="G25" t="s">
        <v>3</v>
      </c>
      <c r="H25" s="8">
        <f t="shared" si="0"/>
        <v>0.14812428092616195</v>
      </c>
      <c r="I25" s="13">
        <v>104.22047424316411</v>
      </c>
      <c r="J25" s="8">
        <f t="shared" si="1"/>
        <v>0.41834761556443745</v>
      </c>
      <c r="K25" s="13">
        <v>123.33132171630859</v>
      </c>
      <c r="L25" s="8">
        <f t="shared" si="2"/>
        <v>0.31169035764980135</v>
      </c>
      <c r="M25" s="13">
        <v>138.4380798339844</v>
      </c>
      <c r="N25" s="8">
        <f t="shared" si="3"/>
        <v>0.22737984242669718</v>
      </c>
    </row>
    <row r="26" spans="1:14" x14ac:dyDescent="0.25">
      <c r="A26" s="17" t="s">
        <v>21</v>
      </c>
      <c r="B26" s="2">
        <v>37652</v>
      </c>
      <c r="C26" s="3">
        <v>384.33</v>
      </c>
      <c r="D26" s="3">
        <v>307.49005818786878</v>
      </c>
      <c r="E26" s="3">
        <v>217.65649523394751</v>
      </c>
      <c r="F26" s="3">
        <v>396.55096397537238</v>
      </c>
      <c r="G26" t="s">
        <v>3</v>
      </c>
      <c r="H26" s="8">
        <f t="shared" si="0"/>
        <v>0.19993219840275597</v>
      </c>
      <c r="I26" s="13">
        <v>312.86398315429688</v>
      </c>
      <c r="J26" s="8">
        <f t="shared" si="1"/>
        <v>0.18594961841569255</v>
      </c>
      <c r="K26" s="13">
        <v>308.62637329101563</v>
      </c>
      <c r="L26" s="8">
        <f t="shared" si="2"/>
        <v>0.19697558532767248</v>
      </c>
      <c r="M26" s="13">
        <v>354.30517578125</v>
      </c>
      <c r="N26" s="8">
        <f t="shared" si="3"/>
        <v>7.8122509871074303E-2</v>
      </c>
    </row>
    <row r="27" spans="1:14" x14ac:dyDescent="0.25">
      <c r="A27" s="17" t="s">
        <v>21</v>
      </c>
      <c r="B27" s="2">
        <v>37680</v>
      </c>
      <c r="C27" s="3">
        <v>441.44</v>
      </c>
      <c r="D27" s="3">
        <v>424.99204575718147</v>
      </c>
      <c r="E27" s="3">
        <v>338.50189401463291</v>
      </c>
      <c r="F27" s="3">
        <v>516.8253306711897</v>
      </c>
      <c r="G27" t="s">
        <v>3</v>
      </c>
      <c r="H27" s="8">
        <f t="shared" si="0"/>
        <v>3.7259773112582745E-2</v>
      </c>
      <c r="I27" s="13">
        <v>436.70004272460938</v>
      </c>
      <c r="J27" s="8">
        <f t="shared" si="1"/>
        <v>1.0737489297278503E-2</v>
      </c>
      <c r="K27" s="13">
        <v>443.05508422851563</v>
      </c>
      <c r="L27" s="8">
        <f t="shared" si="2"/>
        <v>3.6586721378117689E-3</v>
      </c>
      <c r="M27" s="13">
        <v>418.27474975585938</v>
      </c>
      <c r="N27" s="8">
        <f t="shared" si="3"/>
        <v>5.2476554558129357E-2</v>
      </c>
    </row>
    <row r="28" spans="1:14" x14ac:dyDescent="0.25">
      <c r="A28" s="17" t="s">
        <v>21</v>
      </c>
      <c r="B28" s="2">
        <v>37711</v>
      </c>
      <c r="C28" s="3">
        <v>382.05</v>
      </c>
      <c r="D28" s="3">
        <v>412.50031317357372</v>
      </c>
      <c r="E28" s="3">
        <v>324.24792255063983</v>
      </c>
      <c r="F28" s="3">
        <v>507.80437344264112</v>
      </c>
      <c r="G28" t="s">
        <v>3</v>
      </c>
      <c r="H28" s="8">
        <f t="shared" si="0"/>
        <v>7.9702429455761559E-2</v>
      </c>
      <c r="I28" s="13">
        <v>445.1273193359375</v>
      </c>
      <c r="J28" s="8">
        <f t="shared" si="1"/>
        <v>0.16510226236340136</v>
      </c>
      <c r="K28" s="13">
        <v>461.57113647460938</v>
      </c>
      <c r="L28" s="8">
        <f t="shared" si="2"/>
        <v>0.20814327044787165</v>
      </c>
      <c r="M28" s="13">
        <v>412.58047485351563</v>
      </c>
      <c r="N28" s="8">
        <f t="shared" si="3"/>
        <v>7.9912249322119128E-2</v>
      </c>
    </row>
    <row r="29" spans="1:14" x14ac:dyDescent="0.25">
      <c r="A29" s="17" t="s">
        <v>21</v>
      </c>
      <c r="B29" s="2">
        <v>37741</v>
      </c>
      <c r="C29" s="3">
        <v>227.84</v>
      </c>
      <c r="D29" s="3">
        <v>211.06850451172821</v>
      </c>
      <c r="E29" s="3">
        <v>117.21794000208379</v>
      </c>
      <c r="F29" s="3">
        <v>302.16263699220639</v>
      </c>
      <c r="G29" t="s">
        <v>3</v>
      </c>
      <c r="H29" s="8">
        <f t="shared" si="0"/>
        <v>7.3610847473103036E-2</v>
      </c>
      <c r="I29" s="13">
        <v>322.4019775390625</v>
      </c>
      <c r="J29" s="8">
        <f t="shared" si="1"/>
        <v>0.41503676939546391</v>
      </c>
      <c r="K29" s="13">
        <v>347.50079345703119</v>
      </c>
      <c r="L29" s="8">
        <f t="shared" si="2"/>
        <v>0.52519660049609895</v>
      </c>
      <c r="M29" s="13">
        <v>283.07937622070313</v>
      </c>
      <c r="N29" s="8">
        <f t="shared" si="3"/>
        <v>0.24244810490126018</v>
      </c>
    </row>
    <row r="30" spans="1:14" x14ac:dyDescent="0.25">
      <c r="A30" s="17" t="s">
        <v>21</v>
      </c>
      <c r="B30" s="2">
        <v>37772</v>
      </c>
      <c r="C30" s="3">
        <v>216.48</v>
      </c>
      <c r="D30" s="3">
        <v>268.32901221055948</v>
      </c>
      <c r="E30" s="3">
        <v>180.61028602166451</v>
      </c>
      <c r="F30" s="3">
        <v>355.69896339806559</v>
      </c>
      <c r="G30" t="s">
        <v>3</v>
      </c>
      <c r="H30" s="8">
        <f t="shared" si="0"/>
        <v>0.23950947990834948</v>
      </c>
      <c r="I30" s="13">
        <v>185.2665710449219</v>
      </c>
      <c r="J30" s="8">
        <f t="shared" si="1"/>
        <v>0.14418620175109981</v>
      </c>
      <c r="K30" s="13">
        <v>203.07334899902341</v>
      </c>
      <c r="L30" s="8">
        <f t="shared" si="2"/>
        <v>6.1930206028162328E-2</v>
      </c>
      <c r="M30" s="13">
        <v>203.23272705078119</v>
      </c>
      <c r="N30" s="8">
        <f t="shared" si="3"/>
        <v>6.1193980733641892E-2</v>
      </c>
    </row>
    <row r="31" spans="1:14" x14ac:dyDescent="0.25">
      <c r="A31" s="17" t="s">
        <v>21</v>
      </c>
      <c r="B31" s="2">
        <v>37802</v>
      </c>
      <c r="C31" s="3">
        <v>172.1</v>
      </c>
      <c r="D31" s="3">
        <v>174.21287559859999</v>
      </c>
      <c r="E31" s="3">
        <v>87.882509937473529</v>
      </c>
      <c r="F31" s="3">
        <v>264.78882182721748</v>
      </c>
      <c r="G31" t="s">
        <v>3</v>
      </c>
      <c r="H31" s="8">
        <f t="shared" si="0"/>
        <v>1.2277022653108651E-2</v>
      </c>
      <c r="I31" s="13">
        <v>119.37110900878911</v>
      </c>
      <c r="J31" s="8">
        <f t="shared" si="1"/>
        <v>0.30638518879262577</v>
      </c>
      <c r="K31" s="13">
        <v>142.7510681152344</v>
      </c>
      <c r="L31" s="8">
        <f t="shared" si="2"/>
        <v>0.17053417713402436</v>
      </c>
      <c r="M31" s="13">
        <v>141.2670593261719</v>
      </c>
      <c r="N31" s="8">
        <f t="shared" si="3"/>
        <v>0.17915712187000635</v>
      </c>
    </row>
    <row r="32" spans="1:14" x14ac:dyDescent="0.25">
      <c r="A32" s="17" t="s">
        <v>21</v>
      </c>
      <c r="B32" s="2">
        <v>37833</v>
      </c>
      <c r="C32" s="3">
        <v>112.81</v>
      </c>
      <c r="D32" s="3">
        <v>134.614553544693</v>
      </c>
      <c r="E32" s="3">
        <v>46.978295652826077</v>
      </c>
      <c r="F32" s="3">
        <v>227.59005209018579</v>
      </c>
      <c r="G32" t="s">
        <v>3</v>
      </c>
      <c r="H32" s="8">
        <f t="shared" si="0"/>
        <v>0.19328564439937057</v>
      </c>
      <c r="I32" s="13">
        <v>94.401634216308594</v>
      </c>
      <c r="J32" s="8">
        <f t="shared" si="1"/>
        <v>0.16318026578930422</v>
      </c>
      <c r="K32" s="13">
        <v>102.8677673339844</v>
      </c>
      <c r="L32" s="8">
        <f t="shared" si="2"/>
        <v>8.8132547345231793E-2</v>
      </c>
      <c r="M32" s="13">
        <v>115.54888916015619</v>
      </c>
      <c r="N32" s="8">
        <f t="shared" si="3"/>
        <v>2.4278779896783891E-2</v>
      </c>
    </row>
    <row r="33" spans="1:14" x14ac:dyDescent="0.25">
      <c r="A33" s="17" t="s">
        <v>21</v>
      </c>
      <c r="B33" s="2">
        <v>37864</v>
      </c>
      <c r="C33" s="3">
        <v>112.34</v>
      </c>
      <c r="D33" s="3">
        <v>81.265986996475576</v>
      </c>
      <c r="E33" s="3">
        <v>-7.724004410119985</v>
      </c>
      <c r="F33" s="3">
        <v>167.81253569202659</v>
      </c>
      <c r="G33" t="s">
        <v>3</v>
      </c>
      <c r="H33" s="8">
        <f t="shared" si="0"/>
        <v>0.2766068453224535</v>
      </c>
      <c r="I33" s="13">
        <v>88.506050109863281</v>
      </c>
      <c r="J33" s="8">
        <f t="shared" si="1"/>
        <v>0.21215906970034468</v>
      </c>
      <c r="K33" s="13">
        <v>88.436874389648438</v>
      </c>
      <c r="L33" s="8">
        <f t="shared" si="2"/>
        <v>0.21277484075442019</v>
      </c>
      <c r="M33" s="13">
        <v>104.4018478393555</v>
      </c>
      <c r="N33" s="8">
        <f t="shared" si="3"/>
        <v>7.0661849391530224E-2</v>
      </c>
    </row>
    <row r="34" spans="1:14" x14ac:dyDescent="0.25">
      <c r="A34" s="17" t="s">
        <v>21</v>
      </c>
      <c r="B34" s="2">
        <v>37894</v>
      </c>
      <c r="C34" s="3">
        <v>73.92</v>
      </c>
      <c r="D34" s="3">
        <v>86.529903498253475</v>
      </c>
      <c r="E34" s="3">
        <v>-6.1070446194020054</v>
      </c>
      <c r="F34" s="3">
        <v>176.6509576116257</v>
      </c>
      <c r="G34" t="s">
        <v>3</v>
      </c>
      <c r="H34" s="8">
        <f t="shared" si="0"/>
        <v>0.17058852135083161</v>
      </c>
      <c r="I34" s="13">
        <v>86.686492919921875</v>
      </c>
      <c r="J34" s="8">
        <f t="shared" si="1"/>
        <v>0.17270688473920282</v>
      </c>
      <c r="K34" s="13">
        <v>102.255500793457</v>
      </c>
      <c r="L34" s="8">
        <f t="shared" si="2"/>
        <v>0.38332657999806546</v>
      </c>
      <c r="M34" s="13">
        <v>90.757545471191406</v>
      </c>
      <c r="N34" s="8">
        <f t="shared" si="3"/>
        <v>0.22778064760810882</v>
      </c>
    </row>
    <row r="35" spans="1:14" x14ac:dyDescent="0.25">
      <c r="A35" s="17" t="s">
        <v>21</v>
      </c>
      <c r="B35" s="2">
        <v>37925</v>
      </c>
      <c r="C35" s="3">
        <v>84.7</v>
      </c>
      <c r="D35" s="3">
        <v>91.337509375370018</v>
      </c>
      <c r="E35" s="3">
        <v>-5.8581864365450977</v>
      </c>
      <c r="F35" s="3">
        <v>184.7911833258114</v>
      </c>
      <c r="G35" t="s">
        <v>3</v>
      </c>
      <c r="H35" s="8">
        <f t="shared" si="0"/>
        <v>7.8364927690318956E-2</v>
      </c>
      <c r="I35" s="13">
        <v>70.492538452148438</v>
      </c>
      <c r="J35" s="8">
        <f t="shared" si="1"/>
        <v>0.16773862512221446</v>
      </c>
      <c r="K35" s="13">
        <v>87.238533020019531</v>
      </c>
      <c r="L35" s="8">
        <f t="shared" si="2"/>
        <v>2.9970873908140832E-2</v>
      </c>
      <c r="M35" s="13">
        <v>82.368888854980469</v>
      </c>
      <c r="N35" s="8">
        <f t="shared" si="3"/>
        <v>2.7521973376854001E-2</v>
      </c>
    </row>
    <row r="36" spans="1:14" x14ac:dyDescent="0.25">
      <c r="A36" s="17" t="s">
        <v>21</v>
      </c>
      <c r="B36" s="2">
        <v>37955</v>
      </c>
      <c r="C36" s="3">
        <v>56.33</v>
      </c>
      <c r="D36" s="3">
        <v>75.729710119581057</v>
      </c>
      <c r="E36" s="3">
        <v>-13.20298507491035</v>
      </c>
      <c r="F36" s="3">
        <v>168.9528973353257</v>
      </c>
      <c r="G36" t="s">
        <v>3</v>
      </c>
      <c r="H36" s="8">
        <f t="shared" si="0"/>
        <v>0.34439393075769675</v>
      </c>
      <c r="I36" s="13">
        <v>57.899845123291023</v>
      </c>
      <c r="J36" s="8">
        <f t="shared" si="1"/>
        <v>2.7868722231333649E-2</v>
      </c>
      <c r="K36" s="13">
        <v>60.477451324462891</v>
      </c>
      <c r="L36" s="8">
        <f t="shared" si="2"/>
        <v>7.3627752964013707E-2</v>
      </c>
      <c r="M36" s="13">
        <v>59.514369964599609</v>
      </c>
      <c r="N36" s="8">
        <f t="shared" si="3"/>
        <v>5.6530622485347258E-2</v>
      </c>
    </row>
    <row r="37" spans="1:14" x14ac:dyDescent="0.25">
      <c r="A37" s="17" t="s">
        <v>21</v>
      </c>
      <c r="B37" s="2">
        <v>37986</v>
      </c>
      <c r="C37" s="3">
        <v>191.01</v>
      </c>
      <c r="D37" s="3">
        <v>128.91766044361771</v>
      </c>
      <c r="E37" s="3">
        <v>44.704278653870048</v>
      </c>
      <c r="F37" s="3">
        <v>222.11827418867941</v>
      </c>
      <c r="G37" t="s">
        <v>3</v>
      </c>
      <c r="H37" s="8">
        <f t="shared" si="0"/>
        <v>0.32507376344894134</v>
      </c>
      <c r="I37" s="13">
        <v>76.208946228027344</v>
      </c>
      <c r="J37" s="8">
        <f t="shared" si="1"/>
        <v>0.60102117047260695</v>
      </c>
      <c r="K37" s="13">
        <v>77.535301208496094</v>
      </c>
      <c r="L37" s="8">
        <f t="shared" si="2"/>
        <v>0.59407726711430764</v>
      </c>
      <c r="M37" s="13">
        <v>137.86968994140619</v>
      </c>
      <c r="N37" s="8">
        <f t="shared" si="3"/>
        <v>0.27820695282233288</v>
      </c>
    </row>
    <row r="38" spans="1:14" x14ac:dyDescent="0.25">
      <c r="A38" s="17" t="s">
        <v>21</v>
      </c>
      <c r="B38" s="2">
        <v>38017</v>
      </c>
      <c r="C38" s="3">
        <v>113.55</v>
      </c>
      <c r="D38" s="3">
        <v>250.72308384246921</v>
      </c>
      <c r="E38" s="3">
        <v>161.21545108989679</v>
      </c>
      <c r="F38" s="3">
        <v>340.68988515379709</v>
      </c>
      <c r="G38" t="s">
        <v>3</v>
      </c>
      <c r="H38" s="8">
        <f t="shared" si="0"/>
        <v>1.2080412491630932</v>
      </c>
      <c r="I38" s="13">
        <v>262.31167602539063</v>
      </c>
      <c r="J38" s="8">
        <f t="shared" si="1"/>
        <v>1.3100984238255449</v>
      </c>
      <c r="K38" s="13">
        <v>272.13104248046881</v>
      </c>
      <c r="L38" s="8">
        <f t="shared" si="2"/>
        <v>1.3965745705017067</v>
      </c>
      <c r="M38" s="13">
        <v>247.81401062011719</v>
      </c>
      <c r="N38" s="8">
        <f t="shared" si="3"/>
        <v>1.1824219341269677</v>
      </c>
    </row>
    <row r="39" spans="1:14" x14ac:dyDescent="0.25">
      <c r="A39" s="17" t="s">
        <v>21</v>
      </c>
      <c r="B39" s="2">
        <v>38046</v>
      </c>
      <c r="C39" s="3">
        <v>513.63</v>
      </c>
      <c r="D39" s="3">
        <v>429.34186895588613</v>
      </c>
      <c r="E39" s="3">
        <v>339.52319763618033</v>
      </c>
      <c r="F39" s="3">
        <v>523.08601398810879</v>
      </c>
      <c r="G39" t="s">
        <v>3</v>
      </c>
      <c r="H39" s="8">
        <f t="shared" si="0"/>
        <v>0.16410281923585823</v>
      </c>
      <c r="I39" s="13">
        <v>346.97601318359381</v>
      </c>
      <c r="J39" s="8">
        <f t="shared" si="1"/>
        <v>0.32446310927400307</v>
      </c>
      <c r="K39" s="13">
        <v>367.73089599609381</v>
      </c>
      <c r="L39" s="8">
        <f t="shared" si="2"/>
        <v>0.28405487219186221</v>
      </c>
      <c r="M39" s="13">
        <v>382.31240844726563</v>
      </c>
      <c r="N39" s="8">
        <f t="shared" si="3"/>
        <v>0.25566573516487429</v>
      </c>
    </row>
    <row r="40" spans="1:14" x14ac:dyDescent="0.25">
      <c r="A40" s="17" t="s">
        <v>21</v>
      </c>
      <c r="B40" s="2">
        <v>38077</v>
      </c>
      <c r="C40" s="3">
        <v>416.97</v>
      </c>
      <c r="D40" s="3">
        <v>421.27354413809297</v>
      </c>
      <c r="E40" s="3">
        <v>332.85700371826277</v>
      </c>
      <c r="F40" s="3">
        <v>512.06339699745399</v>
      </c>
      <c r="G40" t="s">
        <v>3</v>
      </c>
      <c r="H40" s="8">
        <f t="shared" si="0"/>
        <v>1.0320992249065748E-2</v>
      </c>
      <c r="I40" s="13">
        <v>425.5635986328125</v>
      </c>
      <c r="J40" s="8">
        <f t="shared" si="1"/>
        <v>2.0609632905994369E-2</v>
      </c>
      <c r="K40" s="13">
        <v>473.7294921875</v>
      </c>
      <c r="L40" s="8">
        <f t="shared" si="2"/>
        <v>0.13612368320862406</v>
      </c>
      <c r="M40" s="13">
        <v>429.59783935546881</v>
      </c>
      <c r="N40" s="8">
        <f t="shared" si="3"/>
        <v>3.0284767142645223E-2</v>
      </c>
    </row>
    <row r="41" spans="1:14" x14ac:dyDescent="0.25">
      <c r="A41" s="17" t="s">
        <v>21</v>
      </c>
      <c r="B41" s="2">
        <v>38107</v>
      </c>
      <c r="C41" s="3">
        <v>282.33</v>
      </c>
      <c r="D41" s="3">
        <v>344.7949966868274</v>
      </c>
      <c r="E41" s="3">
        <v>248.2604911999849</v>
      </c>
      <c r="F41" s="3">
        <v>441.96333953399778</v>
      </c>
      <c r="G41" t="s">
        <v>3</v>
      </c>
      <c r="H41" s="8">
        <f t="shared" si="0"/>
        <v>0.22124817301323779</v>
      </c>
      <c r="I41" s="13">
        <v>311.1988525390625</v>
      </c>
      <c r="J41" s="8">
        <f t="shared" si="1"/>
        <v>0.10225216073057244</v>
      </c>
      <c r="K41" s="13">
        <v>361.964111328125</v>
      </c>
      <c r="L41" s="8">
        <f t="shared" si="2"/>
        <v>0.28206039502753877</v>
      </c>
      <c r="M41" s="13">
        <v>312.71755981445313</v>
      </c>
      <c r="N41" s="8">
        <f t="shared" si="3"/>
        <v>0.107631352723597</v>
      </c>
    </row>
    <row r="42" spans="1:14" x14ac:dyDescent="0.25">
      <c r="A42" s="17" t="s">
        <v>21</v>
      </c>
      <c r="B42" s="2">
        <v>38138</v>
      </c>
      <c r="C42" s="3">
        <v>278.54000000000002</v>
      </c>
      <c r="D42" s="3">
        <v>180.92915720320141</v>
      </c>
      <c r="E42" s="3">
        <v>94.011510721828131</v>
      </c>
      <c r="F42" s="3">
        <v>270.30669229015729</v>
      </c>
      <c r="G42" t="s">
        <v>3</v>
      </c>
      <c r="H42" s="8">
        <f t="shared" si="0"/>
        <v>0.35043743375026426</v>
      </c>
      <c r="I42" s="13">
        <v>207.50128173828119</v>
      </c>
      <c r="J42" s="8">
        <f t="shared" si="1"/>
        <v>0.25503955719723853</v>
      </c>
      <c r="K42" s="13">
        <v>214.11366271972659</v>
      </c>
      <c r="L42" s="8">
        <f t="shared" si="2"/>
        <v>0.23130012666142538</v>
      </c>
      <c r="M42" s="13">
        <v>219.85884094238281</v>
      </c>
      <c r="N42" s="8">
        <f t="shared" si="3"/>
        <v>0.21067408292387882</v>
      </c>
    </row>
    <row r="43" spans="1:14" x14ac:dyDescent="0.25">
      <c r="A43" s="17" t="s">
        <v>21</v>
      </c>
      <c r="B43" s="2">
        <v>38168</v>
      </c>
      <c r="C43" s="3">
        <v>116.11</v>
      </c>
      <c r="D43" s="3">
        <v>84.711369883087997</v>
      </c>
      <c r="E43" s="3">
        <v>-1.9143977736361699</v>
      </c>
      <c r="F43" s="3">
        <v>176.5141162859538</v>
      </c>
      <c r="G43" t="s">
        <v>3</v>
      </c>
      <c r="H43" s="8">
        <f t="shared" si="0"/>
        <v>0.27042141173811046</v>
      </c>
      <c r="I43" s="13">
        <v>141.2992248535156</v>
      </c>
      <c r="J43" s="8">
        <f t="shared" si="1"/>
        <v>0.21694276852567046</v>
      </c>
      <c r="K43" s="13">
        <v>152.04161071777341</v>
      </c>
      <c r="L43" s="8">
        <f t="shared" si="2"/>
        <v>0.30946180964407383</v>
      </c>
      <c r="M43" s="13">
        <v>140.4210205078125</v>
      </c>
      <c r="N43" s="8">
        <f t="shared" si="3"/>
        <v>0.20937921374397123</v>
      </c>
    </row>
    <row r="44" spans="1:14" x14ac:dyDescent="0.25">
      <c r="A44" s="17" t="s">
        <v>21</v>
      </c>
      <c r="B44" s="2">
        <v>38199</v>
      </c>
      <c r="C44" s="3">
        <v>109.86</v>
      </c>
      <c r="D44" s="3">
        <v>69.138220026673253</v>
      </c>
      <c r="E44" s="3">
        <v>-23.61291298138147</v>
      </c>
      <c r="F44" s="3">
        <v>162.93370428220379</v>
      </c>
      <c r="G44" t="s">
        <v>3</v>
      </c>
      <c r="H44" s="8">
        <f t="shared" si="0"/>
        <v>0.37066976127186191</v>
      </c>
      <c r="I44" s="13">
        <v>100.8092041015625</v>
      </c>
      <c r="J44" s="8">
        <f t="shared" si="1"/>
        <v>8.2384816115396858E-2</v>
      </c>
      <c r="K44" s="13">
        <v>101.55213928222661</v>
      </c>
      <c r="L44" s="8">
        <f t="shared" si="2"/>
        <v>7.562225302906786E-2</v>
      </c>
      <c r="M44" s="13">
        <v>106.8253707885742</v>
      </c>
      <c r="N44" s="8">
        <f t="shared" si="3"/>
        <v>2.7622694442251912E-2</v>
      </c>
    </row>
    <row r="45" spans="1:14" x14ac:dyDescent="0.25">
      <c r="A45" s="17" t="s">
        <v>21</v>
      </c>
      <c r="B45" s="2">
        <v>38230</v>
      </c>
      <c r="C45" s="3">
        <v>59.14</v>
      </c>
      <c r="D45" s="3">
        <v>63.552283048214889</v>
      </c>
      <c r="E45" s="3">
        <v>-27.744327859679959</v>
      </c>
      <c r="F45" s="3">
        <v>159.4918565412317</v>
      </c>
      <c r="G45" t="s">
        <v>3</v>
      </c>
      <c r="H45" s="8">
        <f t="shared" si="0"/>
        <v>7.4607423879183093E-2</v>
      </c>
      <c r="I45" s="13">
        <v>90.760169982910156</v>
      </c>
      <c r="J45" s="8">
        <f t="shared" si="1"/>
        <v>0.53466638456053694</v>
      </c>
      <c r="K45" s="13">
        <v>82.894630432128906</v>
      </c>
      <c r="L45" s="8">
        <f t="shared" si="2"/>
        <v>0.40166774487874374</v>
      </c>
      <c r="M45" s="13">
        <v>86.461074829101563</v>
      </c>
      <c r="N45" s="8">
        <f t="shared" si="3"/>
        <v>0.46197285811805144</v>
      </c>
    </row>
    <row r="46" spans="1:14" x14ac:dyDescent="0.25">
      <c r="A46" s="17" t="s">
        <v>21</v>
      </c>
      <c r="B46" s="2">
        <v>38260</v>
      </c>
      <c r="C46" s="3">
        <v>123.36</v>
      </c>
      <c r="D46" s="3">
        <v>97.932274660142184</v>
      </c>
      <c r="E46" s="3">
        <v>10.260608732585441</v>
      </c>
      <c r="F46" s="3">
        <v>187.92612245993359</v>
      </c>
      <c r="G46" t="s">
        <v>3</v>
      </c>
      <c r="H46" s="8">
        <f t="shared" si="0"/>
        <v>0.20612617817653872</v>
      </c>
      <c r="I46" s="13">
        <v>87.622177124023438</v>
      </c>
      <c r="J46" s="8">
        <f t="shared" si="1"/>
        <v>0.28970349283379182</v>
      </c>
      <c r="K46" s="13">
        <v>95.15386962890625</v>
      </c>
      <c r="L46" s="8">
        <f t="shared" si="2"/>
        <v>0.22864891675659654</v>
      </c>
      <c r="M46" s="13">
        <v>95.537025451660156</v>
      </c>
      <c r="N46" s="8">
        <f t="shared" si="3"/>
        <v>0.22554291949043323</v>
      </c>
    </row>
    <row r="47" spans="1:14" x14ac:dyDescent="0.25">
      <c r="A47" s="17" t="s">
        <v>21</v>
      </c>
      <c r="B47" s="2">
        <v>38291</v>
      </c>
      <c r="C47" s="3">
        <v>63.48</v>
      </c>
      <c r="D47" s="3">
        <v>37.473896390107228</v>
      </c>
      <c r="E47" s="3">
        <v>-55.421755569801512</v>
      </c>
      <c r="F47" s="3">
        <v>126.9563910961518</v>
      </c>
      <c r="G47" t="s">
        <v>3</v>
      </c>
      <c r="H47" s="8">
        <f t="shared" si="0"/>
        <v>0.40967396991009403</v>
      </c>
      <c r="I47" s="13">
        <v>73.065101623535156</v>
      </c>
      <c r="J47" s="8">
        <f t="shared" si="1"/>
        <v>0.15099403943817202</v>
      </c>
      <c r="K47" s="13">
        <v>87.760116577148438</v>
      </c>
      <c r="L47" s="8">
        <f t="shared" si="2"/>
        <v>0.38248450814663582</v>
      </c>
      <c r="M47" s="13">
        <v>76.449874877929688</v>
      </c>
      <c r="N47" s="8">
        <f t="shared" si="3"/>
        <v>0.20431434905371285</v>
      </c>
    </row>
    <row r="48" spans="1:14" x14ac:dyDescent="0.25">
      <c r="A48" s="17" t="s">
        <v>21</v>
      </c>
      <c r="B48" s="2">
        <v>38321</v>
      </c>
      <c r="C48" s="3">
        <v>22.82</v>
      </c>
      <c r="D48" s="3">
        <v>32.7145853951913</v>
      </c>
      <c r="E48" s="3">
        <v>-91.556484259953322</v>
      </c>
      <c r="F48" s="3">
        <v>91.325771689745253</v>
      </c>
      <c r="G48" t="s">
        <v>3</v>
      </c>
      <c r="H48" s="8">
        <f t="shared" si="0"/>
        <v>0.43359269917577997</v>
      </c>
      <c r="I48" s="13">
        <v>59.420513153076172</v>
      </c>
      <c r="J48" s="8">
        <f t="shared" si="1"/>
        <v>1.6038787534213923</v>
      </c>
      <c r="K48" s="13">
        <v>60.732448577880859</v>
      </c>
      <c r="L48" s="8">
        <f t="shared" si="2"/>
        <v>1.6613693504768123</v>
      </c>
      <c r="M48" s="13">
        <v>70.642127990722656</v>
      </c>
      <c r="N48" s="8">
        <f t="shared" si="3"/>
        <v>2.095623487761729</v>
      </c>
    </row>
    <row r="49" spans="1:14" x14ac:dyDescent="0.25">
      <c r="A49" s="17" t="s">
        <v>21</v>
      </c>
      <c r="B49" s="2">
        <v>38352</v>
      </c>
      <c r="C49" s="3">
        <v>38.090000000000003</v>
      </c>
      <c r="D49" s="3">
        <v>17.22739475111095</v>
      </c>
      <c r="E49" s="3">
        <v>-77.729041094976623</v>
      </c>
      <c r="F49" s="3">
        <v>104.2607918316852</v>
      </c>
      <c r="G49" t="s">
        <v>3</v>
      </c>
      <c r="H49" s="8">
        <f t="shared" si="0"/>
        <v>0.54771869910446447</v>
      </c>
      <c r="I49" s="13">
        <v>77.977447509765625</v>
      </c>
      <c r="J49" s="8">
        <f t="shared" si="1"/>
        <v>1.0471894856856292</v>
      </c>
      <c r="K49" s="13">
        <v>76.438934326171875</v>
      </c>
      <c r="L49" s="8">
        <f t="shared" si="2"/>
        <v>1.0067979607816191</v>
      </c>
      <c r="M49" s="13">
        <v>85.018280029296875</v>
      </c>
      <c r="N49" s="8">
        <f t="shared" si="3"/>
        <v>1.2320367558229683</v>
      </c>
    </row>
    <row r="50" spans="1:14" x14ac:dyDescent="0.25">
      <c r="A50" s="17" t="s">
        <v>21</v>
      </c>
      <c r="B50" s="2">
        <v>38383</v>
      </c>
      <c r="C50" s="3">
        <v>93.86</v>
      </c>
      <c r="D50" s="3">
        <v>216.17160461986069</v>
      </c>
      <c r="E50" s="3">
        <v>128.04593030816591</v>
      </c>
      <c r="F50" s="3">
        <v>302.20592924315463</v>
      </c>
      <c r="G50" t="s">
        <v>3</v>
      </c>
      <c r="H50" s="8">
        <f t="shared" si="0"/>
        <v>1.3031281122934231</v>
      </c>
      <c r="I50" s="13">
        <v>229.18299865722659</v>
      </c>
      <c r="J50" s="8">
        <f t="shared" si="1"/>
        <v>1.4417536613810633</v>
      </c>
      <c r="K50" s="13">
        <v>227.51324462890619</v>
      </c>
      <c r="L50" s="8">
        <f t="shared" si="2"/>
        <v>1.4239638251534859</v>
      </c>
      <c r="M50" s="13">
        <v>251.52684020996091</v>
      </c>
      <c r="N50" s="8">
        <f t="shared" si="3"/>
        <v>1.6798086534195709</v>
      </c>
    </row>
    <row r="51" spans="1:14" x14ac:dyDescent="0.25">
      <c r="A51" s="17" t="s">
        <v>21</v>
      </c>
      <c r="B51" s="2">
        <v>38411</v>
      </c>
      <c r="C51" s="3">
        <v>163.22999999999999</v>
      </c>
      <c r="D51" s="3">
        <v>342.12204367421839</v>
      </c>
      <c r="E51" s="3">
        <v>251.4324217649862</v>
      </c>
      <c r="F51" s="3">
        <v>431.78370121577268</v>
      </c>
      <c r="G51" t="s">
        <v>3</v>
      </c>
      <c r="H51" s="8">
        <f t="shared" si="0"/>
        <v>1.0959507668579207</v>
      </c>
      <c r="I51" s="13">
        <v>318.0833740234375</v>
      </c>
      <c r="J51" s="8">
        <f t="shared" si="1"/>
        <v>0.94868206839084435</v>
      </c>
      <c r="K51" s="13">
        <v>329.78353881835938</v>
      </c>
      <c r="L51" s="8">
        <f t="shared" si="2"/>
        <v>1.0203610783456436</v>
      </c>
      <c r="M51" s="13">
        <v>267.62496948242188</v>
      </c>
      <c r="N51" s="8">
        <f t="shared" si="3"/>
        <v>0.63955749238756288</v>
      </c>
    </row>
    <row r="52" spans="1:14" x14ac:dyDescent="0.25">
      <c r="A52" s="17" t="s">
        <v>21</v>
      </c>
      <c r="B52" s="2">
        <v>38442</v>
      </c>
      <c r="C52" s="3">
        <v>291.18</v>
      </c>
      <c r="D52" s="3">
        <v>384.02502771925748</v>
      </c>
      <c r="E52" s="3">
        <v>289.22551888182682</v>
      </c>
      <c r="F52" s="3">
        <v>475.73141304421739</v>
      </c>
      <c r="G52" t="s">
        <v>3</v>
      </c>
      <c r="H52" s="8">
        <f t="shared" si="0"/>
        <v>0.31885784641547316</v>
      </c>
      <c r="I52" s="13">
        <v>322.77679443359381</v>
      </c>
      <c r="J52" s="8">
        <f t="shared" si="1"/>
        <v>0.10851292820109142</v>
      </c>
      <c r="K52" s="13">
        <v>349.96539306640619</v>
      </c>
      <c r="L52" s="8">
        <f t="shared" si="2"/>
        <v>0.20188678160040588</v>
      </c>
      <c r="M52" s="13">
        <v>351.00146484375</v>
      </c>
      <c r="N52" s="8">
        <f t="shared" si="3"/>
        <v>0.20544496477694207</v>
      </c>
    </row>
    <row r="53" spans="1:14" x14ac:dyDescent="0.25">
      <c r="A53" s="17" t="s">
        <v>21</v>
      </c>
      <c r="B53" s="2">
        <v>38472</v>
      </c>
      <c r="C53" s="3">
        <v>418.77</v>
      </c>
      <c r="D53" s="3">
        <v>310.66754617513601</v>
      </c>
      <c r="E53" s="3">
        <v>217.40857626041301</v>
      </c>
      <c r="F53" s="3">
        <v>403.33098190003119</v>
      </c>
      <c r="G53" t="s">
        <v>3</v>
      </c>
      <c r="H53" s="8">
        <f t="shared" si="0"/>
        <v>0.25814278440400212</v>
      </c>
      <c r="I53" s="13">
        <v>265.19473266601563</v>
      </c>
      <c r="J53" s="8">
        <f t="shared" si="1"/>
        <v>0.3667293916326011</v>
      </c>
      <c r="K53" s="13">
        <v>304.61007690429688</v>
      </c>
      <c r="L53" s="8">
        <f t="shared" si="2"/>
        <v>0.27260769180147365</v>
      </c>
      <c r="M53" s="13">
        <v>357.91433715820313</v>
      </c>
      <c r="N53" s="8">
        <f t="shared" si="3"/>
        <v>0.14532001538266079</v>
      </c>
    </row>
    <row r="54" spans="1:14" x14ac:dyDescent="0.25">
      <c r="A54" s="17" t="s">
        <v>21</v>
      </c>
      <c r="B54" s="2">
        <v>38503</v>
      </c>
      <c r="C54" s="3">
        <v>70.179999999999993</v>
      </c>
      <c r="D54" s="3">
        <v>163.0018800984322</v>
      </c>
      <c r="E54" s="3">
        <v>68.261909536068387</v>
      </c>
      <c r="F54" s="3">
        <v>259.02988847308711</v>
      </c>
      <c r="G54" t="s">
        <v>3</v>
      </c>
      <c r="H54" s="8">
        <f t="shared" ref="H54:H117" si="4">IFERROR(ABS((C54-D54)/C54),0)</f>
        <v>1.322625820724312</v>
      </c>
      <c r="I54" s="13">
        <v>216.40888977050781</v>
      </c>
      <c r="J54" s="8">
        <f t="shared" si="1"/>
        <v>2.0836262435239075</v>
      </c>
      <c r="K54" s="13">
        <v>235.31800842285159</v>
      </c>
      <c r="L54" s="8">
        <f t="shared" si="2"/>
        <v>2.3530636708870283</v>
      </c>
      <c r="M54" s="13">
        <v>229.94645690917969</v>
      </c>
      <c r="N54" s="8">
        <f t="shared" si="3"/>
        <v>2.2765240368934125</v>
      </c>
    </row>
    <row r="55" spans="1:14" x14ac:dyDescent="0.25">
      <c r="A55" s="17" t="s">
        <v>21</v>
      </c>
      <c r="B55" s="2">
        <v>38533</v>
      </c>
      <c r="C55" s="3">
        <v>150.44</v>
      </c>
      <c r="D55" s="3">
        <v>84.329407908703956</v>
      </c>
      <c r="E55" s="3">
        <v>-4.1455925366229023</v>
      </c>
      <c r="F55" s="3">
        <v>175.69347676816261</v>
      </c>
      <c r="G55" t="s">
        <v>3</v>
      </c>
      <c r="H55" s="8">
        <f t="shared" si="4"/>
        <v>0.43944823246009068</v>
      </c>
      <c r="I55" s="13">
        <v>134.27836608886719</v>
      </c>
      <c r="J55" s="8">
        <f t="shared" si="1"/>
        <v>0.10742910071212983</v>
      </c>
      <c r="K55" s="13">
        <v>134.91838073730469</v>
      </c>
      <c r="L55" s="8">
        <f t="shared" si="2"/>
        <v>0.10317481562546736</v>
      </c>
      <c r="M55" s="13">
        <v>122.8773651123047</v>
      </c>
      <c r="N55" s="8">
        <f t="shared" si="3"/>
        <v>0.1832134730636486</v>
      </c>
    </row>
    <row r="56" spans="1:14" x14ac:dyDescent="0.25">
      <c r="A56" s="17" t="s">
        <v>21</v>
      </c>
      <c r="B56" s="2">
        <v>38564</v>
      </c>
      <c r="C56" s="3">
        <v>39.409999999999997</v>
      </c>
      <c r="D56" s="3">
        <v>48.831645130883267</v>
      </c>
      <c r="E56" s="3">
        <v>-37.215758241012793</v>
      </c>
      <c r="F56" s="3">
        <v>143.89691604797741</v>
      </c>
      <c r="G56" t="s">
        <v>3</v>
      </c>
      <c r="H56" s="8">
        <f t="shared" si="4"/>
        <v>0.23906737200921774</v>
      </c>
      <c r="I56" s="13">
        <v>103.2880401611328</v>
      </c>
      <c r="J56" s="8">
        <f t="shared" si="1"/>
        <v>1.6208586694019997</v>
      </c>
      <c r="K56" s="13">
        <v>93.272994995117188</v>
      </c>
      <c r="L56" s="8">
        <f t="shared" si="2"/>
        <v>1.3667342043927226</v>
      </c>
      <c r="M56" s="13">
        <v>89.191886901855469</v>
      </c>
      <c r="N56" s="8">
        <f t="shared" si="3"/>
        <v>1.2631790637365004</v>
      </c>
    </row>
    <row r="57" spans="1:14" x14ac:dyDescent="0.25">
      <c r="A57" s="17" t="s">
        <v>21</v>
      </c>
      <c r="B57" s="2">
        <v>38595</v>
      </c>
      <c r="C57" s="3">
        <v>60.51</v>
      </c>
      <c r="D57" s="3">
        <v>8.3436733065595661</v>
      </c>
      <c r="E57" s="3">
        <v>-79.787904650397792</v>
      </c>
      <c r="F57" s="3">
        <v>102.8306999847749</v>
      </c>
      <c r="G57" t="s">
        <v>3</v>
      </c>
      <c r="H57" s="8">
        <f t="shared" si="4"/>
        <v>0.86211083611701267</v>
      </c>
      <c r="I57" s="13">
        <v>93.083534240722656</v>
      </c>
      <c r="J57" s="8">
        <f t="shared" si="1"/>
        <v>0.53831654669844087</v>
      </c>
      <c r="K57" s="13">
        <v>85.365226745605469</v>
      </c>
      <c r="L57" s="8">
        <f t="shared" si="2"/>
        <v>0.41076229954727272</v>
      </c>
      <c r="M57" s="13">
        <v>71.343254089355469</v>
      </c>
      <c r="N57" s="8">
        <f t="shared" si="3"/>
        <v>0.17903245892175626</v>
      </c>
    </row>
    <row r="58" spans="1:14" x14ac:dyDescent="0.25">
      <c r="A58" s="17" t="s">
        <v>21</v>
      </c>
      <c r="B58" s="2">
        <v>38625</v>
      </c>
      <c r="C58" s="3">
        <v>52.52</v>
      </c>
      <c r="D58" s="3">
        <v>49.050775300469098</v>
      </c>
      <c r="E58" s="3">
        <v>-43.450387894668083</v>
      </c>
      <c r="F58" s="3">
        <v>137.07683085630279</v>
      </c>
      <c r="G58" t="s">
        <v>3</v>
      </c>
      <c r="H58" s="8">
        <f t="shared" si="4"/>
        <v>6.6055306540954012E-2</v>
      </c>
      <c r="I58" s="13">
        <v>77.635757446289063</v>
      </c>
      <c r="J58" s="8">
        <f t="shared" si="1"/>
        <v>0.47821320347085028</v>
      </c>
      <c r="K58" s="13">
        <v>90.084854125976563</v>
      </c>
      <c r="L58" s="8">
        <f t="shared" si="2"/>
        <v>0.71524855533085596</v>
      </c>
      <c r="M58" s="13">
        <v>69.513893127441406</v>
      </c>
      <c r="N58" s="8">
        <f t="shared" si="3"/>
        <v>0.32356993768928793</v>
      </c>
    </row>
    <row r="59" spans="1:14" x14ac:dyDescent="0.25">
      <c r="A59" s="17" t="s">
        <v>21</v>
      </c>
      <c r="B59" s="2">
        <v>38656</v>
      </c>
      <c r="C59" s="3">
        <v>42.52</v>
      </c>
      <c r="D59" s="3">
        <v>43.031153075405598</v>
      </c>
      <c r="E59" s="3">
        <v>-85.597310382774651</v>
      </c>
      <c r="F59" s="3">
        <v>90.639474347289948</v>
      </c>
      <c r="G59" t="s">
        <v>3</v>
      </c>
      <c r="H59" s="8">
        <f t="shared" si="4"/>
        <v>1.2021474021768458E-2</v>
      </c>
      <c r="I59" s="13">
        <v>45.770023345947273</v>
      </c>
      <c r="J59" s="8">
        <f t="shared" si="1"/>
        <v>7.6435168060848296E-2</v>
      </c>
      <c r="K59" s="13">
        <v>57.010967254638672</v>
      </c>
      <c r="L59" s="8">
        <f t="shared" si="2"/>
        <v>0.34080355725867045</v>
      </c>
      <c r="M59" s="13">
        <v>54.159992218017578</v>
      </c>
      <c r="N59" s="8">
        <f t="shared" si="3"/>
        <v>0.27375334473230417</v>
      </c>
    </row>
    <row r="60" spans="1:14" x14ac:dyDescent="0.25">
      <c r="A60" s="17" t="s">
        <v>21</v>
      </c>
      <c r="B60" s="2">
        <v>38686</v>
      </c>
      <c r="C60" s="3">
        <v>76.739999999999995</v>
      </c>
      <c r="D60" s="3">
        <v>74.872300270133906</v>
      </c>
      <c r="E60" s="3">
        <v>-106.82755074370451</v>
      </c>
      <c r="F60" s="3">
        <v>72.950840550830577</v>
      </c>
      <c r="G60" t="s">
        <v>3</v>
      </c>
      <c r="H60" s="8">
        <f t="shared" si="4"/>
        <v>2.4338020978187248E-2</v>
      </c>
      <c r="I60" s="13">
        <v>25.369890213012699</v>
      </c>
      <c r="J60" s="8">
        <f t="shared" si="1"/>
        <v>0.66940461020311837</v>
      </c>
      <c r="K60" s="13">
        <v>31.12071418762207</v>
      </c>
      <c r="L60" s="8">
        <f t="shared" si="2"/>
        <v>0.59446554355457293</v>
      </c>
      <c r="M60" s="13">
        <v>74.247245788574219</v>
      </c>
      <c r="N60" s="8">
        <f t="shared" si="3"/>
        <v>3.2483114561190726E-2</v>
      </c>
    </row>
    <row r="61" spans="1:14" x14ac:dyDescent="0.25">
      <c r="A61" s="17" t="s">
        <v>21</v>
      </c>
      <c r="B61" s="2">
        <v>38717</v>
      </c>
      <c r="C61" s="3">
        <v>93.37</v>
      </c>
      <c r="D61" s="3">
        <v>86.733650351788299</v>
      </c>
      <c r="E61" s="3">
        <v>-47.694824251162267</v>
      </c>
      <c r="F61" s="3">
        <v>124.7756572907609</v>
      </c>
      <c r="G61" t="s">
        <v>3</v>
      </c>
      <c r="H61" s="8">
        <f t="shared" si="4"/>
        <v>7.1075823585859538E-2</v>
      </c>
      <c r="I61" s="13">
        <v>120.25267028808589</v>
      </c>
      <c r="J61" s="8">
        <f t="shared" si="1"/>
        <v>0.28791550056855403</v>
      </c>
      <c r="K61" s="13">
        <v>85.037956237792969</v>
      </c>
      <c r="L61" s="8">
        <f t="shared" si="2"/>
        <v>8.9236840122170244E-2</v>
      </c>
      <c r="M61" s="13">
        <v>80.163978576660156</v>
      </c>
      <c r="N61" s="8">
        <f t="shared" si="3"/>
        <v>0.14143752193787992</v>
      </c>
    </row>
    <row r="62" spans="1:14" x14ac:dyDescent="0.25">
      <c r="A62" s="17" t="s">
        <v>21</v>
      </c>
      <c r="B62" s="2">
        <v>38748</v>
      </c>
      <c r="C62" s="3">
        <v>164.96</v>
      </c>
      <c r="D62" s="3">
        <v>227.70799318363859</v>
      </c>
      <c r="E62" s="3">
        <v>131.03181212538459</v>
      </c>
      <c r="F62" s="3">
        <v>315.69416889576081</v>
      </c>
      <c r="G62" t="s">
        <v>3</v>
      </c>
      <c r="H62" s="8">
        <f t="shared" si="4"/>
        <v>0.38038308186007869</v>
      </c>
      <c r="I62" s="13">
        <v>338.52203369140619</v>
      </c>
      <c r="J62" s="8">
        <f t="shared" si="1"/>
        <v>1.0521461790216184</v>
      </c>
      <c r="K62" s="13">
        <v>280.4844970703125</v>
      </c>
      <c r="L62" s="8">
        <f t="shared" si="2"/>
        <v>0.70031824121188457</v>
      </c>
      <c r="M62" s="13">
        <v>239.3333435058594</v>
      </c>
      <c r="N62" s="8">
        <f t="shared" si="3"/>
        <v>0.45085683502582075</v>
      </c>
    </row>
    <row r="63" spans="1:14" x14ac:dyDescent="0.25">
      <c r="A63" s="17" t="s">
        <v>21</v>
      </c>
      <c r="B63" s="2">
        <v>38776</v>
      </c>
      <c r="C63" s="3">
        <v>617.74</v>
      </c>
      <c r="D63" s="3">
        <v>562.37283096114788</v>
      </c>
      <c r="E63" s="3">
        <v>471.55638691946768</v>
      </c>
      <c r="F63" s="3">
        <v>654.12156103067446</v>
      </c>
      <c r="G63" t="s">
        <v>3</v>
      </c>
      <c r="H63" s="8">
        <f t="shared" si="4"/>
        <v>8.9628596236041261E-2</v>
      </c>
      <c r="I63" s="13">
        <v>411.01473999023438</v>
      </c>
      <c r="J63" s="8">
        <f t="shared" si="1"/>
        <v>0.33464768350724516</v>
      </c>
      <c r="K63" s="13">
        <v>391.80770874023438</v>
      </c>
      <c r="L63" s="8">
        <f t="shared" si="2"/>
        <v>0.36574010305268501</v>
      </c>
      <c r="M63" s="13">
        <v>517.68182373046875</v>
      </c>
      <c r="N63" s="8">
        <f t="shared" si="3"/>
        <v>0.16197457873786911</v>
      </c>
    </row>
    <row r="64" spans="1:14" x14ac:dyDescent="0.25">
      <c r="A64" s="17" t="s">
        <v>21</v>
      </c>
      <c r="B64" s="2">
        <v>38807</v>
      </c>
      <c r="C64" s="3">
        <v>291.93</v>
      </c>
      <c r="D64" s="3">
        <v>373.46264535928481</v>
      </c>
      <c r="E64" s="3">
        <v>289.34099226369159</v>
      </c>
      <c r="F64" s="3">
        <v>464.2497113013826</v>
      </c>
      <c r="G64" t="s">
        <v>3</v>
      </c>
      <c r="H64" s="8">
        <f t="shared" si="4"/>
        <v>0.27928834090119137</v>
      </c>
      <c r="I64" s="13">
        <v>457.70315551757813</v>
      </c>
      <c r="J64" s="8">
        <f t="shared" si="1"/>
        <v>0.56785241502270445</v>
      </c>
      <c r="K64" s="13">
        <v>516.04583740234375</v>
      </c>
      <c r="L64" s="8">
        <f t="shared" si="2"/>
        <v>0.76770402974118368</v>
      </c>
      <c r="M64" s="13">
        <v>433.53732299804688</v>
      </c>
      <c r="N64" s="8">
        <f t="shared" si="3"/>
        <v>0.48507287020192125</v>
      </c>
    </row>
    <row r="65" spans="1:14" x14ac:dyDescent="0.25">
      <c r="A65" s="17" t="s">
        <v>21</v>
      </c>
      <c r="B65" s="2">
        <v>38837</v>
      </c>
      <c r="C65" s="3">
        <v>109.71</v>
      </c>
      <c r="D65" s="3">
        <v>363.95805416266057</v>
      </c>
      <c r="E65" s="3">
        <v>279.53410686216421</v>
      </c>
      <c r="F65" s="3">
        <v>458.57695044863988</v>
      </c>
      <c r="G65" t="s">
        <v>3</v>
      </c>
      <c r="H65" s="8">
        <f t="shared" si="4"/>
        <v>2.3174556026128941</v>
      </c>
      <c r="I65" s="13">
        <v>270.58895874023438</v>
      </c>
      <c r="J65" s="8">
        <f t="shared" si="1"/>
        <v>1.4664019573442202</v>
      </c>
      <c r="K65" s="13">
        <v>297.66012573242188</v>
      </c>
      <c r="L65" s="8">
        <f t="shared" si="2"/>
        <v>1.713154003576902</v>
      </c>
      <c r="M65" s="13">
        <v>219.64756774902341</v>
      </c>
      <c r="N65" s="8">
        <f t="shared" si="3"/>
        <v>1.0020742662384781</v>
      </c>
    </row>
    <row r="66" spans="1:14" x14ac:dyDescent="0.25">
      <c r="A66" s="17" t="s">
        <v>21</v>
      </c>
      <c r="B66" s="2">
        <v>38868</v>
      </c>
      <c r="C66" s="3">
        <v>117.45</v>
      </c>
      <c r="D66" s="3">
        <v>192.15658634545721</v>
      </c>
      <c r="E66" s="3">
        <v>97.135678718803049</v>
      </c>
      <c r="F66" s="3">
        <v>284.51804890606888</v>
      </c>
      <c r="G66" t="s">
        <v>3</v>
      </c>
      <c r="H66" s="8">
        <f t="shared" si="4"/>
        <v>0.63607140353731129</v>
      </c>
      <c r="I66" s="13">
        <v>161.58331298828119</v>
      </c>
      <c r="J66" s="8">
        <f t="shared" ref="J66:J129" si="5">IFERROR(ABS((C66-I66)/C66),0)</f>
        <v>0.3757625626929007</v>
      </c>
      <c r="K66" s="13">
        <v>165.427001953125</v>
      </c>
      <c r="L66" s="8">
        <f t="shared" si="2"/>
        <v>0.40848873523307788</v>
      </c>
      <c r="M66" s="13">
        <v>159.42433166503909</v>
      </c>
      <c r="N66" s="8">
        <f t="shared" si="3"/>
        <v>0.357380431375386</v>
      </c>
    </row>
    <row r="67" spans="1:14" x14ac:dyDescent="0.25">
      <c r="A67" s="17" t="s">
        <v>21</v>
      </c>
      <c r="B67" s="2">
        <v>38898</v>
      </c>
      <c r="C67" s="3">
        <v>152.15</v>
      </c>
      <c r="D67" s="3">
        <v>126.03012292171439</v>
      </c>
      <c r="E67" s="3">
        <v>30.755300200609089</v>
      </c>
      <c r="F67" s="3">
        <v>210.83505738972519</v>
      </c>
      <c r="G67" t="s">
        <v>3</v>
      </c>
      <c r="H67" s="8">
        <f t="shared" si="4"/>
        <v>0.17167188352471646</v>
      </c>
      <c r="I67" s="13">
        <v>113.64353179931641</v>
      </c>
      <c r="J67" s="8">
        <f t="shared" si="5"/>
        <v>0.25308227539062506</v>
      </c>
      <c r="K67" s="13">
        <v>116.5919952392578</v>
      </c>
      <c r="L67" s="8">
        <f t="shared" ref="L67:L130" si="6">IFERROR(ABS((C67-K67)/C67),0)</f>
        <v>0.23370361328125011</v>
      </c>
      <c r="M67" s="13">
        <v>104.1120147705078</v>
      </c>
      <c r="N67" s="8">
        <f t="shared" ref="N67:N130" si="7">IFERROR(ABS((C67-M67)/C67),0)</f>
        <v>0.31572780301999476</v>
      </c>
    </row>
    <row r="68" spans="1:14" x14ac:dyDescent="0.25">
      <c r="A68" s="17" t="s">
        <v>21</v>
      </c>
      <c r="B68" s="2">
        <v>38929</v>
      </c>
      <c r="C68" s="3">
        <v>98.88</v>
      </c>
      <c r="D68" s="3">
        <v>62.112984043313887</v>
      </c>
      <c r="E68" s="3">
        <v>-27.20838907776594</v>
      </c>
      <c r="F68" s="3">
        <v>153.2189966208814</v>
      </c>
      <c r="G68" t="s">
        <v>3</v>
      </c>
      <c r="H68" s="8">
        <f t="shared" si="4"/>
        <v>0.37183470829981907</v>
      </c>
      <c r="I68" s="13">
        <v>92.208335876464844</v>
      </c>
      <c r="J68" s="8">
        <f t="shared" si="5"/>
        <v>6.7472331346431547E-2</v>
      </c>
      <c r="K68" s="13">
        <v>81.980476379394531</v>
      </c>
      <c r="L68" s="8">
        <f t="shared" si="6"/>
        <v>0.17090942172942419</v>
      </c>
      <c r="M68" s="13">
        <v>79.706962585449219</v>
      </c>
      <c r="N68" s="8">
        <f t="shared" si="7"/>
        <v>0.1939020774125281</v>
      </c>
    </row>
    <row r="69" spans="1:14" x14ac:dyDescent="0.25">
      <c r="A69" s="17" t="s">
        <v>21</v>
      </c>
      <c r="B69" s="2">
        <v>38960</v>
      </c>
      <c r="C69" s="3">
        <v>112.57</v>
      </c>
      <c r="D69" s="3">
        <v>59.46281462334224</v>
      </c>
      <c r="E69" s="3">
        <v>-25.543615434846579</v>
      </c>
      <c r="F69" s="3">
        <v>152.13066335976711</v>
      </c>
      <c r="G69" t="s">
        <v>3</v>
      </c>
      <c r="H69" s="8">
        <f t="shared" si="4"/>
        <v>0.47177032403533586</v>
      </c>
      <c r="I69" s="13">
        <v>87.772407531738281</v>
      </c>
      <c r="J69" s="8">
        <f t="shared" si="5"/>
        <v>0.22028597733198643</v>
      </c>
      <c r="K69" s="13">
        <v>83.166236877441406</v>
      </c>
      <c r="L69" s="8">
        <f t="shared" si="6"/>
        <v>0.2612042562188735</v>
      </c>
      <c r="M69" s="13">
        <v>81.074844360351563</v>
      </c>
      <c r="N69" s="8">
        <f t="shared" si="7"/>
        <v>0.2797828519112413</v>
      </c>
    </row>
    <row r="70" spans="1:14" x14ac:dyDescent="0.25">
      <c r="A70" s="17" t="s">
        <v>21</v>
      </c>
      <c r="B70" s="2">
        <v>38990</v>
      </c>
      <c r="C70" s="3">
        <v>231.64</v>
      </c>
      <c r="D70" s="3">
        <v>72.284696549447361</v>
      </c>
      <c r="E70" s="3">
        <v>-21.0580582114872</v>
      </c>
      <c r="F70" s="3">
        <v>165.50476307980099</v>
      </c>
      <c r="G70" t="s">
        <v>3</v>
      </c>
      <c r="H70" s="8">
        <f t="shared" si="4"/>
        <v>0.68794380698736246</v>
      </c>
      <c r="I70" s="13">
        <v>82.591346740722656</v>
      </c>
      <c r="J70" s="8">
        <f t="shared" si="5"/>
        <v>0.6434495478297243</v>
      </c>
      <c r="K70" s="13">
        <v>93.365890502929688</v>
      </c>
      <c r="L70" s="8">
        <f t="shared" si="6"/>
        <v>0.59693537168481392</v>
      </c>
      <c r="M70" s="13">
        <v>94.414573669433594</v>
      </c>
      <c r="N70" s="8">
        <f t="shared" si="7"/>
        <v>0.59240816063964086</v>
      </c>
    </row>
    <row r="71" spans="1:14" x14ac:dyDescent="0.25">
      <c r="A71" s="17" t="s">
        <v>21</v>
      </c>
      <c r="B71" s="2">
        <v>39021</v>
      </c>
      <c r="C71" s="3">
        <v>82.32</v>
      </c>
      <c r="D71" s="3">
        <v>60.592177232167941</v>
      </c>
      <c r="E71" s="3">
        <v>-29.96267933129246</v>
      </c>
      <c r="F71" s="3">
        <v>148.45169468087011</v>
      </c>
      <c r="G71" t="s">
        <v>3</v>
      </c>
      <c r="H71" s="8">
        <f t="shared" si="4"/>
        <v>0.26394342526520959</v>
      </c>
      <c r="I71" s="13">
        <v>61.615695953369141</v>
      </c>
      <c r="J71" s="8">
        <f t="shared" si="5"/>
        <v>0.25151001028463138</v>
      </c>
      <c r="K71" s="13">
        <v>68.157150268554688</v>
      </c>
      <c r="L71" s="8">
        <f t="shared" si="6"/>
        <v>0.17204627953650761</v>
      </c>
      <c r="M71" s="13">
        <v>81.5810546875</v>
      </c>
      <c r="N71" s="8">
        <f t="shared" si="7"/>
        <v>8.9764979652574503E-3</v>
      </c>
    </row>
    <row r="72" spans="1:14" x14ac:dyDescent="0.25">
      <c r="A72" s="17" t="s">
        <v>21</v>
      </c>
      <c r="B72" s="2">
        <v>39051</v>
      </c>
      <c r="C72" s="3">
        <v>54.47</v>
      </c>
      <c r="D72" s="3">
        <v>56.313543601333237</v>
      </c>
      <c r="E72" s="3">
        <v>-31.666759328248691</v>
      </c>
      <c r="F72" s="3">
        <v>140.26633647372071</v>
      </c>
      <c r="G72" t="s">
        <v>3</v>
      </c>
      <c r="H72" s="8">
        <f t="shared" si="4"/>
        <v>3.3845118438282321E-2</v>
      </c>
      <c r="I72" s="13">
        <v>50.227695465087891</v>
      </c>
      <c r="J72" s="8">
        <f t="shared" si="5"/>
        <v>7.7883321735122232E-2</v>
      </c>
      <c r="K72" s="13">
        <v>45.013774871826172</v>
      </c>
      <c r="L72" s="8">
        <f t="shared" si="6"/>
        <v>0.17360427993709981</v>
      </c>
      <c r="M72" s="13">
        <v>66.290336608886719</v>
      </c>
      <c r="N72" s="8">
        <f t="shared" si="7"/>
        <v>0.21700636329881989</v>
      </c>
    </row>
    <row r="73" spans="1:14" x14ac:dyDescent="0.25">
      <c r="A73" s="17" t="s">
        <v>21</v>
      </c>
      <c r="B73" s="2">
        <v>39082</v>
      </c>
      <c r="C73" s="3">
        <v>191.06</v>
      </c>
      <c r="D73" s="3">
        <v>123.18478541616891</v>
      </c>
      <c r="E73" s="3">
        <v>30.01667473229692</v>
      </c>
      <c r="F73" s="3">
        <v>217.22513151626609</v>
      </c>
      <c r="G73" t="s">
        <v>3</v>
      </c>
      <c r="H73" s="8">
        <f t="shared" si="4"/>
        <v>0.35525601687339631</v>
      </c>
      <c r="I73" s="13">
        <v>86.170242309570313</v>
      </c>
      <c r="J73" s="8">
        <f t="shared" si="5"/>
        <v>0.54898857788354283</v>
      </c>
      <c r="K73" s="13">
        <v>83.8489990234375</v>
      </c>
      <c r="L73" s="8">
        <f t="shared" si="6"/>
        <v>0.56113786756287287</v>
      </c>
      <c r="M73" s="13">
        <v>126.548210144043</v>
      </c>
      <c r="N73" s="8">
        <f t="shared" si="7"/>
        <v>0.33765199338405216</v>
      </c>
    </row>
    <row r="74" spans="1:14" x14ac:dyDescent="0.25">
      <c r="A74" s="17" t="s">
        <v>21</v>
      </c>
      <c r="B74" s="2">
        <v>39113</v>
      </c>
      <c r="C74" s="3">
        <v>292.58</v>
      </c>
      <c r="D74" s="3">
        <v>253.7079868155879</v>
      </c>
      <c r="E74" s="3">
        <v>156.89094371588831</v>
      </c>
      <c r="F74" s="3">
        <v>343.45569810359183</v>
      </c>
      <c r="G74" t="s">
        <v>3</v>
      </c>
      <c r="H74" s="8">
        <f t="shared" si="4"/>
        <v>0.13285943394767954</v>
      </c>
      <c r="I74" s="13">
        <v>279.88720703125</v>
      </c>
      <c r="J74" s="8">
        <f t="shared" si="5"/>
        <v>4.3382298751623437E-2</v>
      </c>
      <c r="K74" s="13">
        <v>289.2315673828125</v>
      </c>
      <c r="L74" s="8">
        <f t="shared" si="6"/>
        <v>1.144450275886077E-2</v>
      </c>
      <c r="M74" s="13">
        <v>277.60147094726563</v>
      </c>
      <c r="N74" s="8">
        <f t="shared" si="7"/>
        <v>5.1194644380116068E-2</v>
      </c>
    </row>
    <row r="75" spans="1:14" x14ac:dyDescent="0.25">
      <c r="A75" s="17" t="s">
        <v>21</v>
      </c>
      <c r="B75" s="2">
        <v>39141</v>
      </c>
      <c r="C75" s="3">
        <v>179.74</v>
      </c>
      <c r="D75" s="3">
        <v>375.70890826319362</v>
      </c>
      <c r="E75" s="3">
        <v>288.90335439673311</v>
      </c>
      <c r="F75" s="3">
        <v>459.83912452663509</v>
      </c>
      <c r="G75" t="s">
        <v>3</v>
      </c>
      <c r="H75" s="8">
        <f t="shared" si="4"/>
        <v>1.0902910218270481</v>
      </c>
      <c r="I75" s="13">
        <v>386.12127685546881</v>
      </c>
      <c r="J75" s="8">
        <f t="shared" si="5"/>
        <v>1.1482211909172626</v>
      </c>
      <c r="K75" s="13">
        <v>421.48004150390619</v>
      </c>
      <c r="L75" s="8">
        <f t="shared" si="6"/>
        <v>1.3449429259146888</v>
      </c>
      <c r="M75" s="13">
        <v>344.23135375976563</v>
      </c>
      <c r="N75" s="8">
        <f t="shared" si="7"/>
        <v>0.91516275597955721</v>
      </c>
    </row>
    <row r="76" spans="1:14" x14ac:dyDescent="0.25">
      <c r="A76" s="17" t="s">
        <v>21</v>
      </c>
      <c r="B76" s="2">
        <v>39172</v>
      </c>
      <c r="C76" s="3">
        <v>414.06</v>
      </c>
      <c r="D76" s="3">
        <v>392.65563540139249</v>
      </c>
      <c r="E76" s="3">
        <v>306.72994019976647</v>
      </c>
      <c r="F76" s="3">
        <v>481.57485402289433</v>
      </c>
      <c r="G76" t="s">
        <v>3</v>
      </c>
      <c r="H76" s="8">
        <f t="shared" si="4"/>
        <v>5.1693871899259808E-2</v>
      </c>
      <c r="I76" s="13">
        <v>373.21206665039063</v>
      </c>
      <c r="J76" s="8">
        <f t="shared" si="5"/>
        <v>9.8652208253898893E-2</v>
      </c>
      <c r="K76" s="13">
        <v>389.3455810546875</v>
      </c>
      <c r="L76" s="8">
        <f t="shared" si="6"/>
        <v>5.9688013682346767E-2</v>
      </c>
      <c r="M76" s="13">
        <v>389</v>
      </c>
      <c r="N76" s="8">
        <f t="shared" si="7"/>
        <v>6.0522629570593636E-2</v>
      </c>
    </row>
    <row r="77" spans="1:14" x14ac:dyDescent="0.25">
      <c r="A77" s="17" t="s">
        <v>21</v>
      </c>
      <c r="B77" s="2">
        <v>39202</v>
      </c>
      <c r="C77" s="3">
        <v>248.65</v>
      </c>
      <c r="D77" s="3">
        <v>177.3928463096201</v>
      </c>
      <c r="E77" s="3">
        <v>93.306011986880733</v>
      </c>
      <c r="F77" s="3">
        <v>273.57201482700731</v>
      </c>
      <c r="G77" t="s">
        <v>3</v>
      </c>
      <c r="H77" s="8">
        <f t="shared" si="4"/>
        <v>0.28657612584106135</v>
      </c>
      <c r="I77" s="13">
        <v>275.50711059570313</v>
      </c>
      <c r="J77" s="8">
        <f t="shared" si="5"/>
        <v>0.10801170559301475</v>
      </c>
      <c r="K77" s="13">
        <v>338.12387084960938</v>
      </c>
      <c r="L77" s="8">
        <f t="shared" si="6"/>
        <v>0.3598386119027121</v>
      </c>
      <c r="M77" s="13">
        <v>310.94570922851563</v>
      </c>
      <c r="N77" s="8">
        <f t="shared" si="7"/>
        <v>0.250535729855281</v>
      </c>
    </row>
    <row r="78" spans="1:14" x14ac:dyDescent="0.25">
      <c r="A78" s="17" t="s">
        <v>21</v>
      </c>
      <c r="B78" s="2">
        <v>39233</v>
      </c>
      <c r="C78" s="3">
        <v>163.83000000000001</v>
      </c>
      <c r="D78" s="3">
        <v>260.15679762068959</v>
      </c>
      <c r="E78" s="3">
        <v>167.55523720435309</v>
      </c>
      <c r="F78" s="3">
        <v>349.34417132677601</v>
      </c>
      <c r="G78" t="s">
        <v>3</v>
      </c>
      <c r="H78" s="8">
        <f t="shared" si="4"/>
        <v>0.58796800110290892</v>
      </c>
      <c r="I78" s="13">
        <v>192.03361511230469</v>
      </c>
      <c r="J78" s="8">
        <f t="shared" si="5"/>
        <v>0.17215171282612876</v>
      </c>
      <c r="K78" s="13">
        <v>208.09930419921881</v>
      </c>
      <c r="L78" s="8">
        <f t="shared" si="6"/>
        <v>0.27021488249538417</v>
      </c>
      <c r="M78" s="13">
        <v>207.60572814941409</v>
      </c>
      <c r="N78" s="8">
        <f t="shared" si="7"/>
        <v>0.26720214948064502</v>
      </c>
    </row>
    <row r="79" spans="1:14" x14ac:dyDescent="0.25">
      <c r="A79" s="17" t="s">
        <v>21</v>
      </c>
      <c r="B79" s="2">
        <v>39263</v>
      </c>
      <c r="C79" s="3">
        <v>271.64</v>
      </c>
      <c r="D79" s="3">
        <v>169.87063481857319</v>
      </c>
      <c r="E79" s="3">
        <v>80.738021001812385</v>
      </c>
      <c r="F79" s="3">
        <v>266.21162357023042</v>
      </c>
      <c r="G79" t="s">
        <v>3</v>
      </c>
      <c r="H79" s="8">
        <f t="shared" si="4"/>
        <v>0.37464793543449709</v>
      </c>
      <c r="I79" s="13">
        <v>133.58949279785159</v>
      </c>
      <c r="J79" s="8">
        <f t="shared" si="5"/>
        <v>0.50821126197227362</v>
      </c>
      <c r="K79" s="13">
        <v>145.68217468261719</v>
      </c>
      <c r="L79" s="8">
        <f t="shared" si="6"/>
        <v>0.46369395272192165</v>
      </c>
      <c r="M79" s="13">
        <v>153.02088928222659</v>
      </c>
      <c r="N79" s="8">
        <f t="shared" si="7"/>
        <v>0.43667762743989619</v>
      </c>
    </row>
    <row r="80" spans="1:14" x14ac:dyDescent="0.25">
      <c r="A80" s="17" t="s">
        <v>21</v>
      </c>
      <c r="B80" s="2">
        <v>39294</v>
      </c>
      <c r="C80" s="3">
        <v>74.61</v>
      </c>
      <c r="D80" s="3">
        <v>107.628610680791</v>
      </c>
      <c r="E80" s="3">
        <v>17.540008578336241</v>
      </c>
      <c r="F80" s="3">
        <v>201.2302661759235</v>
      </c>
      <c r="G80" t="s">
        <v>3</v>
      </c>
      <c r="H80" s="8">
        <f t="shared" si="4"/>
        <v>0.44254939928683823</v>
      </c>
      <c r="I80" s="13">
        <v>103.1732940673828</v>
      </c>
      <c r="J80" s="8">
        <f t="shared" si="5"/>
        <v>0.38283466113634634</v>
      </c>
      <c r="K80" s="13">
        <v>106.89170837402339</v>
      </c>
      <c r="L80" s="8">
        <f t="shared" si="6"/>
        <v>0.43267267623674299</v>
      </c>
      <c r="M80" s="13">
        <v>90.140266418457031</v>
      </c>
      <c r="N80" s="8">
        <f t="shared" si="7"/>
        <v>0.20815261249774872</v>
      </c>
    </row>
    <row r="81" spans="1:14" x14ac:dyDescent="0.25">
      <c r="A81" s="17" t="s">
        <v>21</v>
      </c>
      <c r="B81" s="2">
        <v>39325</v>
      </c>
      <c r="C81" s="3">
        <v>114.15</v>
      </c>
      <c r="D81" s="3">
        <v>61.701803980148902</v>
      </c>
      <c r="E81" s="3">
        <v>-23.744182947114471</v>
      </c>
      <c r="F81" s="3">
        <v>141.86945588964301</v>
      </c>
      <c r="G81" t="s">
        <v>3</v>
      </c>
      <c r="H81" s="8">
        <f t="shared" si="4"/>
        <v>0.45946733263119666</v>
      </c>
      <c r="I81" s="13">
        <v>94.496322631835938</v>
      </c>
      <c r="J81" s="8">
        <f t="shared" si="5"/>
        <v>0.17217413375526996</v>
      </c>
      <c r="K81" s="13">
        <v>93.344551086425781</v>
      </c>
      <c r="L81" s="8">
        <f t="shared" si="6"/>
        <v>0.18226411663227529</v>
      </c>
      <c r="M81" s="13">
        <v>104.470100402832</v>
      </c>
      <c r="N81" s="8">
        <f t="shared" si="7"/>
        <v>8.4799821262969796E-2</v>
      </c>
    </row>
    <row r="82" spans="1:14" x14ac:dyDescent="0.25">
      <c r="A82" s="17" t="s">
        <v>21</v>
      </c>
      <c r="B82" s="2">
        <v>39355</v>
      </c>
      <c r="C82" s="3">
        <v>131.32</v>
      </c>
      <c r="D82" s="3">
        <v>100.1614250296229</v>
      </c>
      <c r="E82" s="3">
        <v>7.7010691688418076</v>
      </c>
      <c r="F82" s="3">
        <v>188.18725594885959</v>
      </c>
      <c r="G82" t="s">
        <v>3</v>
      </c>
      <c r="H82" s="8">
        <f t="shared" si="4"/>
        <v>0.23727212130960318</v>
      </c>
      <c r="I82" s="13">
        <v>89.107032775878906</v>
      </c>
      <c r="J82" s="8">
        <f t="shared" si="5"/>
        <v>0.32145116679958186</v>
      </c>
      <c r="K82" s="13">
        <v>102.14198303222661</v>
      </c>
      <c r="L82" s="8">
        <f t="shared" si="6"/>
        <v>0.22219019926723568</v>
      </c>
      <c r="M82" s="13">
        <v>97.34912109375</v>
      </c>
      <c r="N82" s="8">
        <f t="shared" si="7"/>
        <v>0.25868777723309472</v>
      </c>
    </row>
    <row r="83" spans="1:14" x14ac:dyDescent="0.25">
      <c r="A83" s="17" t="s">
        <v>21</v>
      </c>
      <c r="B83" s="2">
        <v>39386</v>
      </c>
      <c r="C83" s="3">
        <v>41.48</v>
      </c>
      <c r="D83" s="3">
        <v>80.941352918742368</v>
      </c>
      <c r="E83" s="3">
        <v>-9.623322027288685</v>
      </c>
      <c r="F83" s="3">
        <v>172.36118864042501</v>
      </c>
      <c r="G83" t="s">
        <v>3</v>
      </c>
      <c r="H83" s="8">
        <f t="shared" si="4"/>
        <v>0.95133444837855285</v>
      </c>
      <c r="I83" s="13">
        <v>68.543136596679688</v>
      </c>
      <c r="J83" s="8">
        <f t="shared" si="5"/>
        <v>0.65243820146286624</v>
      </c>
      <c r="K83" s="13">
        <v>80.102867126464844</v>
      </c>
      <c r="L83" s="8">
        <f t="shared" si="6"/>
        <v>0.93112022966405139</v>
      </c>
      <c r="M83" s="13">
        <v>80.962631225585938</v>
      </c>
      <c r="N83" s="8">
        <f t="shared" si="7"/>
        <v>0.9518474258820141</v>
      </c>
    </row>
    <row r="84" spans="1:14" x14ac:dyDescent="0.25">
      <c r="A84" s="17" t="s">
        <v>21</v>
      </c>
      <c r="B84" s="2">
        <v>39416</v>
      </c>
      <c r="C84" s="3">
        <v>81.48</v>
      </c>
      <c r="D84" s="3">
        <v>71.667964095677547</v>
      </c>
      <c r="E84" s="3">
        <v>-22.18784072850454</v>
      </c>
      <c r="F84" s="3">
        <v>163.9760380449091</v>
      </c>
      <c r="G84" t="s">
        <v>3</v>
      </c>
      <c r="H84" s="8">
        <f t="shared" si="4"/>
        <v>0.12042263014632372</v>
      </c>
      <c r="I84" s="13">
        <v>55.830394744873047</v>
      </c>
      <c r="J84" s="8">
        <f t="shared" si="5"/>
        <v>0.31479633351898573</v>
      </c>
      <c r="K84" s="13">
        <v>51.199390411376953</v>
      </c>
      <c r="L84" s="8">
        <f t="shared" si="6"/>
        <v>0.37163242008619352</v>
      </c>
      <c r="M84" s="13">
        <v>68.143661499023438</v>
      </c>
      <c r="N84" s="8">
        <f t="shared" si="7"/>
        <v>0.16367622117055186</v>
      </c>
    </row>
    <row r="85" spans="1:14" x14ac:dyDescent="0.25">
      <c r="A85" s="17" t="s">
        <v>21</v>
      </c>
      <c r="B85" s="2">
        <v>39447</v>
      </c>
      <c r="C85" s="3">
        <v>38.53</v>
      </c>
      <c r="D85" s="3">
        <v>136.97933260596821</v>
      </c>
      <c r="E85" s="3">
        <v>43.529778380856008</v>
      </c>
      <c r="F85" s="3">
        <v>228.16902528409801</v>
      </c>
      <c r="G85" t="s">
        <v>3</v>
      </c>
      <c r="H85" s="8">
        <f t="shared" si="4"/>
        <v>2.5551345083303452</v>
      </c>
      <c r="I85" s="13">
        <v>85.298065185546875</v>
      </c>
      <c r="J85" s="8">
        <f t="shared" si="5"/>
        <v>1.2138091146002303</v>
      </c>
      <c r="K85" s="13">
        <v>84.406097412109375</v>
      </c>
      <c r="L85" s="8">
        <f t="shared" si="6"/>
        <v>1.190659159411092</v>
      </c>
      <c r="M85" s="13">
        <v>73.792732238769531</v>
      </c>
      <c r="N85" s="8">
        <f t="shared" si="7"/>
        <v>0.91520197868594677</v>
      </c>
    </row>
    <row r="86" spans="1:14" x14ac:dyDescent="0.25">
      <c r="A86" s="17" t="s">
        <v>21</v>
      </c>
      <c r="B86" s="2">
        <v>39478</v>
      </c>
      <c r="C86" s="3">
        <v>270.64</v>
      </c>
      <c r="D86" s="3">
        <v>282.00515548996839</v>
      </c>
      <c r="E86" s="3">
        <v>189.5183270632113</v>
      </c>
      <c r="F86" s="3">
        <v>368.02713800910772</v>
      </c>
      <c r="G86" t="s">
        <v>3</v>
      </c>
      <c r="H86" s="8">
        <f t="shared" si="4"/>
        <v>4.1993628029738404E-2</v>
      </c>
      <c r="I86" s="13">
        <v>261.09475708007813</v>
      </c>
      <c r="J86" s="8">
        <f t="shared" si="5"/>
        <v>3.5269150605682316E-2</v>
      </c>
      <c r="K86" s="13">
        <v>254.7523193359375</v>
      </c>
      <c r="L86" s="8">
        <f t="shared" si="6"/>
        <v>5.8704111232864641E-2</v>
      </c>
      <c r="M86" s="13">
        <v>262.1015625</v>
      </c>
      <c r="N86" s="8">
        <f t="shared" si="7"/>
        <v>3.1549059636417333E-2</v>
      </c>
    </row>
    <row r="87" spans="1:14" x14ac:dyDescent="0.25">
      <c r="A87" s="17" t="s">
        <v>21</v>
      </c>
      <c r="B87" s="2">
        <v>39507</v>
      </c>
      <c r="C87" s="3">
        <v>610.99</v>
      </c>
      <c r="D87" s="3">
        <v>644.33633389967667</v>
      </c>
      <c r="E87" s="3">
        <v>558.07693765549834</v>
      </c>
      <c r="F87" s="3">
        <v>731.2784457163516</v>
      </c>
      <c r="G87" t="s">
        <v>3</v>
      </c>
      <c r="H87" s="8">
        <f t="shared" si="4"/>
        <v>5.4577544476467149E-2</v>
      </c>
      <c r="I87" s="13">
        <v>394.70651245117188</v>
      </c>
      <c r="J87" s="8">
        <f t="shared" si="5"/>
        <v>0.35398858827284918</v>
      </c>
      <c r="K87" s="13">
        <v>406.5106201171875</v>
      </c>
      <c r="L87" s="8">
        <f t="shared" si="6"/>
        <v>0.33466894692681143</v>
      </c>
      <c r="M87" s="13">
        <v>455.32159423828119</v>
      </c>
      <c r="N87" s="8">
        <f t="shared" si="7"/>
        <v>0.25478061140398178</v>
      </c>
    </row>
    <row r="88" spans="1:14" x14ac:dyDescent="0.25">
      <c r="A88" s="17" t="s">
        <v>21</v>
      </c>
      <c r="B88" s="2">
        <v>39538</v>
      </c>
      <c r="C88" s="3">
        <v>492.63</v>
      </c>
      <c r="D88" s="3">
        <v>438.13581408177208</v>
      </c>
      <c r="E88" s="3">
        <v>345.39365475062158</v>
      </c>
      <c r="F88" s="3">
        <v>525.55603470700419</v>
      </c>
      <c r="G88" t="s">
        <v>3</v>
      </c>
      <c r="H88" s="8">
        <f t="shared" si="4"/>
        <v>0.11061889433901288</v>
      </c>
      <c r="I88" s="13">
        <v>481.59259033203119</v>
      </c>
      <c r="J88" s="8">
        <f t="shared" si="5"/>
        <v>2.2405070068750994E-2</v>
      </c>
      <c r="K88" s="13">
        <v>529.987548828125</v>
      </c>
      <c r="L88" s="8">
        <f t="shared" si="6"/>
        <v>7.5832874222286517E-2</v>
      </c>
      <c r="M88" s="13">
        <v>485.88998413085938</v>
      </c>
      <c r="N88" s="8">
        <f t="shared" si="7"/>
        <v>1.3681699996225606E-2</v>
      </c>
    </row>
    <row r="89" spans="1:14" x14ac:dyDescent="0.25">
      <c r="A89" s="17" t="s">
        <v>21</v>
      </c>
      <c r="B89" s="2">
        <v>39568</v>
      </c>
      <c r="C89" s="3">
        <v>213.29</v>
      </c>
      <c r="D89" s="3">
        <v>148.51990840241109</v>
      </c>
      <c r="E89" s="3">
        <v>60.804905240815764</v>
      </c>
      <c r="F89" s="3">
        <v>237.0098665890676</v>
      </c>
      <c r="G89" t="s">
        <v>3</v>
      </c>
      <c r="H89" s="8">
        <f t="shared" si="4"/>
        <v>0.30367148763462376</v>
      </c>
      <c r="I89" s="13">
        <v>357.85208129882813</v>
      </c>
      <c r="J89" s="8">
        <f t="shared" si="5"/>
        <v>0.67777242861281883</v>
      </c>
      <c r="K89" s="13">
        <v>398.2115478515625</v>
      </c>
      <c r="L89" s="8">
        <f t="shared" si="6"/>
        <v>0.86699586408909235</v>
      </c>
      <c r="M89" s="13">
        <v>335.30789184570313</v>
      </c>
      <c r="N89" s="8">
        <f t="shared" si="7"/>
        <v>0.5720750707754847</v>
      </c>
    </row>
    <row r="90" spans="1:14" x14ac:dyDescent="0.25">
      <c r="A90" s="17" t="s">
        <v>21</v>
      </c>
      <c r="B90" s="2">
        <v>39599</v>
      </c>
      <c r="C90" s="3">
        <v>211.23</v>
      </c>
      <c r="D90" s="3">
        <v>222.63240290016341</v>
      </c>
      <c r="E90" s="3">
        <v>135.20500354446639</v>
      </c>
      <c r="F90" s="3">
        <v>321.43381360228909</v>
      </c>
      <c r="G90" t="s">
        <v>3</v>
      </c>
      <c r="H90" s="8">
        <f t="shared" si="4"/>
        <v>5.3980982342297132E-2</v>
      </c>
      <c r="I90" s="13">
        <v>209.1504821777344</v>
      </c>
      <c r="J90" s="8">
        <f t="shared" si="5"/>
        <v>9.8448034003957123E-3</v>
      </c>
      <c r="K90" s="13">
        <v>207.765625</v>
      </c>
      <c r="L90" s="8">
        <f t="shared" si="6"/>
        <v>1.6400961037731334E-2</v>
      </c>
      <c r="M90" s="13">
        <v>207.79338073730469</v>
      </c>
      <c r="N90" s="8">
        <f t="shared" si="7"/>
        <v>1.626956049185865E-2</v>
      </c>
    </row>
    <row r="91" spans="1:14" x14ac:dyDescent="0.25">
      <c r="A91" s="17" t="s">
        <v>21</v>
      </c>
      <c r="B91" s="2">
        <v>39629</v>
      </c>
      <c r="C91" s="3">
        <v>164.25</v>
      </c>
      <c r="D91" s="3">
        <v>110.3742376082922</v>
      </c>
      <c r="E91" s="3">
        <v>22.580023947824401</v>
      </c>
      <c r="F91" s="3">
        <v>199.85600616527449</v>
      </c>
      <c r="G91" t="s">
        <v>3</v>
      </c>
      <c r="H91" s="8">
        <f t="shared" si="4"/>
        <v>0.32801072993429403</v>
      </c>
      <c r="I91" s="13">
        <v>140.63438415527341</v>
      </c>
      <c r="J91" s="8">
        <f t="shared" si="5"/>
        <v>0.14377848307291685</v>
      </c>
      <c r="K91" s="13">
        <v>147.7770690917969</v>
      </c>
      <c r="L91" s="8">
        <f t="shared" si="6"/>
        <v>0.10029181679271292</v>
      </c>
      <c r="M91" s="13">
        <v>119.0350341796875</v>
      </c>
      <c r="N91" s="8">
        <f t="shared" si="7"/>
        <v>0.27528137485730592</v>
      </c>
    </row>
    <row r="92" spans="1:14" x14ac:dyDescent="0.25">
      <c r="A92" s="17" t="s">
        <v>21</v>
      </c>
      <c r="B92" s="2">
        <v>39660</v>
      </c>
      <c r="C92" s="3">
        <v>173.31</v>
      </c>
      <c r="D92" s="3">
        <v>118.0214872372768</v>
      </c>
      <c r="E92" s="3">
        <v>25.89074579610476</v>
      </c>
      <c r="F92" s="3">
        <v>211.36994125037651</v>
      </c>
      <c r="G92" t="s">
        <v>3</v>
      </c>
      <c r="H92" s="8">
        <f t="shared" si="4"/>
        <v>0.31901513336058623</v>
      </c>
      <c r="I92" s="13">
        <v>97.033233642578125</v>
      </c>
      <c r="J92" s="8">
        <f t="shared" si="5"/>
        <v>0.44011751403509247</v>
      </c>
      <c r="K92" s="13">
        <v>98.124626159667969</v>
      </c>
      <c r="L92" s="8">
        <f t="shared" si="6"/>
        <v>0.43382017102493814</v>
      </c>
      <c r="M92" s="13">
        <v>113.3868103027344</v>
      </c>
      <c r="N92" s="8">
        <f t="shared" si="7"/>
        <v>0.34575725403765273</v>
      </c>
    </row>
    <row r="93" spans="1:14" x14ac:dyDescent="0.25">
      <c r="A93" s="17" t="s">
        <v>21</v>
      </c>
      <c r="B93" s="2">
        <v>39691</v>
      </c>
      <c r="C93" s="3">
        <v>118.42</v>
      </c>
      <c r="D93" s="3">
        <v>116.4538052610698</v>
      </c>
      <c r="E93" s="3">
        <v>25.341761167759309</v>
      </c>
      <c r="F93" s="3">
        <v>209.26337524675421</v>
      </c>
      <c r="G93" t="s">
        <v>3</v>
      </c>
      <c r="H93" s="8">
        <f t="shared" si="4"/>
        <v>1.6603569827142364E-2</v>
      </c>
      <c r="I93" s="13">
        <v>89.488174438476563</v>
      </c>
      <c r="J93" s="8">
        <f t="shared" si="5"/>
        <v>0.24431536532277859</v>
      </c>
      <c r="K93" s="13">
        <v>81.871368408203125</v>
      </c>
      <c r="L93" s="8">
        <f t="shared" si="6"/>
        <v>0.30863563242523961</v>
      </c>
      <c r="M93" s="13">
        <v>96.411003112792969</v>
      </c>
      <c r="N93" s="8">
        <f t="shared" si="7"/>
        <v>0.18585540354000196</v>
      </c>
    </row>
    <row r="94" spans="1:14" x14ac:dyDescent="0.25">
      <c r="A94" s="17" t="s">
        <v>21</v>
      </c>
      <c r="B94" s="2">
        <v>39721</v>
      </c>
      <c r="C94" s="3">
        <v>171.99</v>
      </c>
      <c r="D94" s="3">
        <v>123.5093719277757</v>
      </c>
      <c r="E94" s="3">
        <v>29.824984518977971</v>
      </c>
      <c r="F94" s="3">
        <v>211.1072368424781</v>
      </c>
      <c r="G94" t="s">
        <v>3</v>
      </c>
      <c r="H94" s="8">
        <f t="shared" si="4"/>
        <v>0.28188050510043783</v>
      </c>
      <c r="I94" s="13">
        <v>86.87322998046875</v>
      </c>
      <c r="J94" s="8">
        <f t="shared" si="5"/>
        <v>0.49489371486441802</v>
      </c>
      <c r="K94" s="13">
        <v>94.537567138671875</v>
      </c>
      <c r="L94" s="8">
        <f t="shared" si="6"/>
        <v>0.45033102425331784</v>
      </c>
      <c r="M94" s="13">
        <v>106.7687149047852</v>
      </c>
      <c r="N94" s="8">
        <f t="shared" si="7"/>
        <v>0.37921556541202867</v>
      </c>
    </row>
    <row r="95" spans="1:14" x14ac:dyDescent="0.25">
      <c r="A95" s="17" t="s">
        <v>21</v>
      </c>
      <c r="B95" s="2">
        <v>39752</v>
      </c>
      <c r="C95" s="3">
        <v>102.46</v>
      </c>
      <c r="D95" s="3">
        <v>68.139670637936433</v>
      </c>
      <c r="E95" s="3">
        <v>-19.836914099691668</v>
      </c>
      <c r="F95" s="3">
        <v>160.72454897895361</v>
      </c>
      <c r="G95" t="s">
        <v>3</v>
      </c>
      <c r="H95" s="8">
        <f t="shared" si="4"/>
        <v>0.33496319892703069</v>
      </c>
      <c r="I95" s="13">
        <v>77.344566345214844</v>
      </c>
      <c r="J95" s="8">
        <f t="shared" si="5"/>
        <v>0.24512427927762201</v>
      </c>
      <c r="K95" s="13">
        <v>94.281455993652344</v>
      </c>
      <c r="L95" s="8">
        <f t="shared" si="6"/>
        <v>7.9821823212450224E-2</v>
      </c>
      <c r="M95" s="13">
        <v>97.036018371582031</v>
      </c>
      <c r="N95" s="8">
        <f t="shared" si="7"/>
        <v>5.2937552492855387E-2</v>
      </c>
    </row>
    <row r="96" spans="1:14" x14ac:dyDescent="0.25">
      <c r="A96" s="17" t="s">
        <v>21</v>
      </c>
      <c r="B96" s="2">
        <v>39782</v>
      </c>
      <c r="C96" s="3">
        <v>33.99</v>
      </c>
      <c r="D96" s="3">
        <v>59.757842227955052</v>
      </c>
      <c r="E96" s="3">
        <v>-29.942041284522769</v>
      </c>
      <c r="F96" s="3">
        <v>150.96564924836881</v>
      </c>
      <c r="G96" t="s">
        <v>3</v>
      </c>
      <c r="H96" s="8">
        <f t="shared" si="4"/>
        <v>0.75810068337614145</v>
      </c>
      <c r="I96" s="13">
        <v>66.300605773925781</v>
      </c>
      <c r="J96" s="8">
        <f t="shared" si="5"/>
        <v>0.95059152026848415</v>
      </c>
      <c r="K96" s="13">
        <v>72.816688537597656</v>
      </c>
      <c r="L96" s="8">
        <f t="shared" si="6"/>
        <v>1.1422973973991659</v>
      </c>
      <c r="M96" s="13">
        <v>72.100532531738281</v>
      </c>
      <c r="N96" s="8">
        <f t="shared" si="7"/>
        <v>1.121227788518337</v>
      </c>
    </row>
    <row r="97" spans="1:14" x14ac:dyDescent="0.25">
      <c r="A97" s="17" t="s">
        <v>21</v>
      </c>
      <c r="B97" s="2">
        <v>39813</v>
      </c>
      <c r="C97" s="3">
        <v>12.38</v>
      </c>
      <c r="D97" s="3">
        <v>50.170124841407159</v>
      </c>
      <c r="E97" s="3">
        <v>-37.969143447027029</v>
      </c>
      <c r="F97" s="3">
        <v>141.76972024576261</v>
      </c>
      <c r="G97" t="s">
        <v>3</v>
      </c>
      <c r="H97" s="8">
        <f t="shared" si="4"/>
        <v>3.0525141228923389</v>
      </c>
      <c r="I97" s="13">
        <v>85.612228393554688</v>
      </c>
      <c r="J97" s="8">
        <f t="shared" si="5"/>
        <v>5.9153657830011861</v>
      </c>
      <c r="K97" s="13">
        <v>89.653556823730469</v>
      </c>
      <c r="L97" s="8">
        <f t="shared" si="6"/>
        <v>6.2418058823691815</v>
      </c>
      <c r="M97" s="13">
        <v>115.6341094970703</v>
      </c>
      <c r="N97" s="8">
        <f t="shared" si="7"/>
        <v>8.3403965668069713</v>
      </c>
    </row>
    <row r="98" spans="1:14" x14ac:dyDescent="0.25">
      <c r="A98" s="17" t="s">
        <v>21</v>
      </c>
      <c r="B98" s="2">
        <v>39844</v>
      </c>
      <c r="C98" s="3">
        <v>327.62</v>
      </c>
      <c r="D98" s="3">
        <v>277.9011242137579</v>
      </c>
      <c r="E98" s="3">
        <v>191.19464450715441</v>
      </c>
      <c r="F98" s="3">
        <v>364.51647408276591</v>
      </c>
      <c r="G98" t="s">
        <v>3</v>
      </c>
      <c r="H98" s="8">
        <f t="shared" si="4"/>
        <v>0.15175775528429922</v>
      </c>
      <c r="I98" s="13">
        <v>238.67735290527341</v>
      </c>
      <c r="J98" s="8">
        <f t="shared" si="5"/>
        <v>0.27148112781492767</v>
      </c>
      <c r="K98" s="13">
        <v>232.780517578125</v>
      </c>
      <c r="L98" s="8">
        <f t="shared" si="6"/>
        <v>0.28948013681055795</v>
      </c>
      <c r="M98" s="13">
        <v>284.97882080078119</v>
      </c>
      <c r="N98" s="8">
        <f t="shared" si="7"/>
        <v>0.13015438373487215</v>
      </c>
    </row>
    <row r="99" spans="1:14" x14ac:dyDescent="0.25">
      <c r="A99" s="17" t="s">
        <v>21</v>
      </c>
      <c r="B99" s="2">
        <v>39872</v>
      </c>
      <c r="C99" s="3">
        <v>345.52</v>
      </c>
      <c r="D99" s="3">
        <v>405.45842945368452</v>
      </c>
      <c r="E99" s="3">
        <v>315.01494794822361</v>
      </c>
      <c r="F99" s="3">
        <v>502.79150660668392</v>
      </c>
      <c r="G99" t="s">
        <v>3</v>
      </c>
      <c r="H99" s="8">
        <f t="shared" si="4"/>
        <v>0.17347311140797794</v>
      </c>
      <c r="I99" s="13">
        <v>371.42385864257813</v>
      </c>
      <c r="J99" s="8">
        <f t="shared" si="5"/>
        <v>7.4970649000284051E-2</v>
      </c>
      <c r="K99" s="13">
        <v>390.60665893554688</v>
      </c>
      <c r="L99" s="8">
        <f t="shared" si="6"/>
        <v>0.13048928842193475</v>
      </c>
      <c r="M99" s="13">
        <v>321.73513793945313</v>
      </c>
      <c r="N99" s="8">
        <f t="shared" si="7"/>
        <v>6.8837873525546586E-2</v>
      </c>
    </row>
    <row r="100" spans="1:14" x14ac:dyDescent="0.25">
      <c r="A100" s="17" t="s">
        <v>21</v>
      </c>
      <c r="B100" s="2">
        <v>39903</v>
      </c>
      <c r="C100" s="3">
        <v>222.95</v>
      </c>
      <c r="D100" s="3">
        <v>213.24312281053861</v>
      </c>
      <c r="E100" s="3">
        <v>127.5090260352262</v>
      </c>
      <c r="F100" s="3">
        <v>313.19169660399962</v>
      </c>
      <c r="G100" t="s">
        <v>3</v>
      </c>
      <c r="H100" s="8">
        <f t="shared" si="4"/>
        <v>4.3538359226110698E-2</v>
      </c>
      <c r="I100" s="13">
        <v>399.412353515625</v>
      </c>
      <c r="J100" s="8">
        <f t="shared" si="5"/>
        <v>0.79148846609385526</v>
      </c>
      <c r="K100" s="13">
        <v>434.373291015625</v>
      </c>
      <c r="L100" s="8">
        <f t="shared" si="6"/>
        <v>0.94829912991982512</v>
      </c>
      <c r="M100" s="13">
        <v>341.95364379882813</v>
      </c>
      <c r="N100" s="8">
        <f t="shared" si="7"/>
        <v>0.53376830589292734</v>
      </c>
    </row>
    <row r="101" spans="1:14" x14ac:dyDescent="0.25">
      <c r="A101" s="17" t="s">
        <v>21</v>
      </c>
      <c r="B101" s="2">
        <v>39933</v>
      </c>
      <c r="C101" s="3">
        <v>126.92</v>
      </c>
      <c r="D101" s="3">
        <v>187.42443230963201</v>
      </c>
      <c r="E101" s="3">
        <v>287.42443230963249</v>
      </c>
      <c r="F101" s="3">
        <v>476.08621548434382</v>
      </c>
      <c r="G101" t="s">
        <v>3</v>
      </c>
      <c r="H101" s="8">
        <f t="shared" si="4"/>
        <v>0.4767131445763631</v>
      </c>
      <c r="I101" s="13">
        <v>277.57220458984381</v>
      </c>
      <c r="J101" s="8">
        <f t="shared" si="5"/>
        <v>1.1869855388421351</v>
      </c>
      <c r="K101" s="13">
        <v>310.76409912109381</v>
      </c>
      <c r="L101" s="8">
        <f t="shared" si="6"/>
        <v>1.448503774984981</v>
      </c>
      <c r="M101" s="13">
        <v>274.2442626953125</v>
      </c>
      <c r="N101" s="8">
        <f t="shared" si="7"/>
        <v>1.1607647549268238</v>
      </c>
    </row>
    <row r="102" spans="1:14" x14ac:dyDescent="0.25">
      <c r="A102" s="17" t="s">
        <v>21</v>
      </c>
      <c r="B102" s="2">
        <v>39964</v>
      </c>
      <c r="C102" s="3">
        <v>164.67</v>
      </c>
      <c r="D102" s="3">
        <v>140.14463332852651</v>
      </c>
      <c r="E102" s="3">
        <v>140.14463332852651</v>
      </c>
      <c r="F102" s="3">
        <v>327.92751291819661</v>
      </c>
      <c r="G102" t="s">
        <v>3</v>
      </c>
      <c r="H102" s="8">
        <f t="shared" si="4"/>
        <v>0.14893645880532871</v>
      </c>
      <c r="I102" s="13">
        <v>188.18006896972659</v>
      </c>
      <c r="J102" s="8">
        <f t="shared" si="5"/>
        <v>0.14277080809939033</v>
      </c>
      <c r="K102" s="13">
        <v>190.19068908691409</v>
      </c>
      <c r="L102" s="8">
        <f t="shared" si="6"/>
        <v>0.15498080456011482</v>
      </c>
      <c r="M102" s="13">
        <v>234.37071228027341</v>
      </c>
      <c r="N102" s="8">
        <f t="shared" si="7"/>
        <v>0.42327510949337116</v>
      </c>
    </row>
    <row r="103" spans="1:14" x14ac:dyDescent="0.25">
      <c r="A103" s="17" t="s">
        <v>21</v>
      </c>
      <c r="B103" s="2">
        <v>39994</v>
      </c>
      <c r="C103" s="3">
        <v>159.49</v>
      </c>
      <c r="D103" s="3">
        <v>126.74238716207211</v>
      </c>
      <c r="E103" s="3">
        <v>41.312302513982488</v>
      </c>
      <c r="F103" s="3">
        <v>219.85067494614199</v>
      </c>
      <c r="G103" t="s">
        <v>3</v>
      </c>
      <c r="H103" s="8">
        <f t="shared" si="4"/>
        <v>0.20532706024156938</v>
      </c>
      <c r="I103" s="13">
        <v>127.03704833984381</v>
      </c>
      <c r="J103" s="8">
        <f t="shared" si="5"/>
        <v>0.2034795389062399</v>
      </c>
      <c r="K103" s="13">
        <v>136.2641296386719</v>
      </c>
      <c r="L103" s="8">
        <f t="shared" si="6"/>
        <v>0.14562587222602111</v>
      </c>
      <c r="M103" s="13">
        <v>160.5163269042969</v>
      </c>
      <c r="N103" s="8">
        <f t="shared" si="7"/>
        <v>6.435054889315282E-3</v>
      </c>
    </row>
    <row r="104" spans="1:14" x14ac:dyDescent="0.25">
      <c r="A104" s="17" t="s">
        <v>21</v>
      </c>
      <c r="B104" s="2">
        <v>40025</v>
      </c>
      <c r="C104" s="3">
        <v>74.95</v>
      </c>
      <c r="D104" s="3">
        <v>95.164364686853489</v>
      </c>
      <c r="E104" s="3">
        <v>2.7314836264094029</v>
      </c>
      <c r="F104" s="3">
        <v>183.53247101513031</v>
      </c>
      <c r="G104" t="s">
        <v>3</v>
      </c>
      <c r="H104" s="8">
        <f t="shared" si="4"/>
        <v>0.26970466560178097</v>
      </c>
      <c r="I104" s="13">
        <v>100.032958984375</v>
      </c>
      <c r="J104" s="8">
        <f t="shared" si="5"/>
        <v>0.33466256149933282</v>
      </c>
      <c r="K104" s="13">
        <v>98.069137573242188</v>
      </c>
      <c r="L104" s="8">
        <f t="shared" si="6"/>
        <v>0.30846080818201715</v>
      </c>
      <c r="M104" s="13">
        <v>100.14427185058589</v>
      </c>
      <c r="N104" s="8">
        <f t="shared" si="7"/>
        <v>0.33614772315658292</v>
      </c>
    </row>
    <row r="105" spans="1:14" x14ac:dyDescent="0.25">
      <c r="A105" s="17" t="s">
        <v>21</v>
      </c>
      <c r="B105" s="2">
        <v>40056</v>
      </c>
      <c r="C105" s="3">
        <v>178.99</v>
      </c>
      <c r="D105" s="3">
        <v>151.02225956367161</v>
      </c>
      <c r="E105" s="3">
        <v>-30.163143056994059</v>
      </c>
      <c r="F105" s="3">
        <v>151.02225956367161</v>
      </c>
      <c r="G105" t="s">
        <v>3</v>
      </c>
      <c r="H105" s="8">
        <f t="shared" si="4"/>
        <v>0.15625308920234871</v>
      </c>
      <c r="I105" s="13">
        <v>91.609588623046875</v>
      </c>
      <c r="J105" s="8">
        <f t="shared" si="5"/>
        <v>0.48818599573693017</v>
      </c>
      <c r="K105" s="13">
        <v>92.404960632324219</v>
      </c>
      <c r="L105" s="8">
        <f t="shared" si="6"/>
        <v>0.48374232844111842</v>
      </c>
      <c r="M105" s="13">
        <v>101.7063064575195</v>
      </c>
      <c r="N105" s="8">
        <f t="shared" si="7"/>
        <v>0.43177659948868935</v>
      </c>
    </row>
    <row r="106" spans="1:14" x14ac:dyDescent="0.25">
      <c r="A106" s="17" t="s">
        <v>21</v>
      </c>
      <c r="B106" s="2">
        <v>40086</v>
      </c>
      <c r="C106" s="3">
        <v>52.39</v>
      </c>
      <c r="D106" s="3">
        <v>93.21247509619127</v>
      </c>
      <c r="E106" s="3">
        <v>4.9112908288922084</v>
      </c>
      <c r="F106" s="3">
        <v>181.11454563738269</v>
      </c>
      <c r="G106" t="s">
        <v>3</v>
      </c>
      <c r="H106" s="8">
        <f t="shared" si="4"/>
        <v>0.77920357121953177</v>
      </c>
      <c r="I106" s="13">
        <v>78.668266296386719</v>
      </c>
      <c r="J106" s="8">
        <f t="shared" si="5"/>
        <v>0.50158935476974076</v>
      </c>
      <c r="K106" s="13">
        <v>92.541206359863281</v>
      </c>
      <c r="L106" s="8">
        <f t="shared" si="6"/>
        <v>0.7663906539389822</v>
      </c>
      <c r="M106" s="13">
        <v>82.673980712890625</v>
      </c>
      <c r="N106" s="8">
        <f t="shared" si="7"/>
        <v>0.57804887789445747</v>
      </c>
    </row>
    <row r="107" spans="1:14" x14ac:dyDescent="0.25">
      <c r="A107" s="17" t="s">
        <v>21</v>
      </c>
      <c r="B107" s="2">
        <v>40117</v>
      </c>
      <c r="C107" s="3">
        <v>64.010000000000005</v>
      </c>
      <c r="D107" s="3">
        <v>67.656889606226443</v>
      </c>
      <c r="E107" s="3">
        <v>-23.433585619775219</v>
      </c>
      <c r="F107" s="3">
        <v>165.25634073549509</v>
      </c>
      <c r="G107" t="s">
        <v>3</v>
      </c>
      <c r="H107" s="8">
        <f t="shared" si="4"/>
        <v>5.6973747949171025E-2</v>
      </c>
      <c r="I107" s="13">
        <v>53.202449798583977</v>
      </c>
      <c r="J107" s="8">
        <f t="shared" si="5"/>
        <v>0.16884159039862565</v>
      </c>
      <c r="K107" s="13">
        <v>57.510395050048828</v>
      </c>
      <c r="L107" s="8">
        <f t="shared" si="6"/>
        <v>0.10154046164585497</v>
      </c>
      <c r="M107" s="13">
        <v>83.656959533691406</v>
      </c>
      <c r="N107" s="8">
        <f t="shared" si="7"/>
        <v>0.30693578399767846</v>
      </c>
    </row>
    <row r="108" spans="1:14" x14ac:dyDescent="0.25">
      <c r="A108" s="17" t="s">
        <v>21</v>
      </c>
      <c r="B108" s="2">
        <v>40147</v>
      </c>
      <c r="C108" s="3">
        <v>26.29</v>
      </c>
      <c r="D108" s="3">
        <v>36.408181824304187</v>
      </c>
      <c r="E108" s="3">
        <v>-54.443060272176901</v>
      </c>
      <c r="F108" s="3">
        <v>129.94683194586091</v>
      </c>
      <c r="G108" t="s">
        <v>3</v>
      </c>
      <c r="H108" s="8">
        <f t="shared" si="4"/>
        <v>0.38486808004200029</v>
      </c>
      <c r="I108" s="13">
        <v>33.055622100830078</v>
      </c>
      <c r="J108" s="8">
        <f t="shared" si="5"/>
        <v>0.25734583875352146</v>
      </c>
      <c r="K108" s="13">
        <v>31.32249641418457</v>
      </c>
      <c r="L108" s="8">
        <f t="shared" si="6"/>
        <v>0.19142245774760636</v>
      </c>
      <c r="M108" s="13">
        <v>49.504375457763672</v>
      </c>
      <c r="N108" s="8">
        <f t="shared" si="7"/>
        <v>0.88301161878142542</v>
      </c>
    </row>
    <row r="109" spans="1:14" x14ac:dyDescent="0.25">
      <c r="A109" s="17" t="s">
        <v>21</v>
      </c>
      <c r="B109" s="2">
        <v>40178</v>
      </c>
      <c r="C109" s="3">
        <v>81.539999999999992</v>
      </c>
      <c r="D109" s="3">
        <v>107.7551098960014</v>
      </c>
      <c r="E109" s="3">
        <v>21.67422798430896</v>
      </c>
      <c r="F109" s="3">
        <v>200.81331598240371</v>
      </c>
      <c r="G109" t="s">
        <v>3</v>
      </c>
      <c r="H109" s="8">
        <f t="shared" si="4"/>
        <v>0.32149999872456969</v>
      </c>
      <c r="I109" s="13">
        <v>83.294975280761719</v>
      </c>
      <c r="J109" s="8">
        <f t="shared" si="5"/>
        <v>2.1522875653197535E-2</v>
      </c>
      <c r="K109" s="13">
        <v>74.915763854980469</v>
      </c>
      <c r="L109" s="8">
        <f t="shared" si="6"/>
        <v>8.1239099154028993E-2</v>
      </c>
      <c r="M109" s="13">
        <v>70.627700805664063</v>
      </c>
      <c r="N109" s="8">
        <f t="shared" si="7"/>
        <v>0.13382755941054611</v>
      </c>
    </row>
    <row r="110" spans="1:14" x14ac:dyDescent="0.25">
      <c r="A110" s="17" t="s">
        <v>21</v>
      </c>
      <c r="B110" s="2">
        <v>40209</v>
      </c>
      <c r="C110" s="3">
        <v>305.22000000000003</v>
      </c>
      <c r="D110" s="3">
        <v>299.26828569403722</v>
      </c>
      <c r="E110" s="3">
        <v>205.069782958204</v>
      </c>
      <c r="F110" s="3">
        <v>386.45229265234047</v>
      </c>
      <c r="G110" t="s">
        <v>3</v>
      </c>
      <c r="H110" s="8">
        <f t="shared" si="4"/>
        <v>1.9499752001712892E-2</v>
      </c>
      <c r="I110" s="13">
        <v>262.71170043945313</v>
      </c>
      <c r="J110" s="8">
        <f t="shared" si="5"/>
        <v>0.13927101618683868</v>
      </c>
      <c r="K110" s="13">
        <v>255.3527526855469</v>
      </c>
      <c r="L110" s="8">
        <f t="shared" si="6"/>
        <v>0.16338132269986605</v>
      </c>
      <c r="M110" s="13">
        <v>267.056396484375</v>
      </c>
      <c r="N110" s="8">
        <f t="shared" si="7"/>
        <v>0.12503637872886778</v>
      </c>
    </row>
    <row r="111" spans="1:14" x14ac:dyDescent="0.25">
      <c r="A111" s="17" t="s">
        <v>21</v>
      </c>
      <c r="B111" s="2">
        <v>40237</v>
      </c>
      <c r="C111" s="3">
        <v>461.18</v>
      </c>
      <c r="D111" s="3">
        <v>425.52572687829462</v>
      </c>
      <c r="E111" s="3">
        <v>337.06535869340331</v>
      </c>
      <c r="F111" s="3">
        <v>522.14152100426315</v>
      </c>
      <c r="G111" t="s">
        <v>3</v>
      </c>
      <c r="H111" s="8">
        <f t="shared" si="4"/>
        <v>7.7310969950356453E-2</v>
      </c>
      <c r="I111" s="13">
        <v>461.04238891601563</v>
      </c>
      <c r="J111" s="8">
        <f t="shared" si="5"/>
        <v>2.9838909749855115E-4</v>
      </c>
      <c r="K111" s="13">
        <v>436.26513671875</v>
      </c>
      <c r="L111" s="8">
        <f t="shared" si="6"/>
        <v>5.4024162542282851E-2</v>
      </c>
      <c r="M111" s="13">
        <v>418.7548828125</v>
      </c>
      <c r="N111" s="8">
        <f t="shared" si="7"/>
        <v>9.1992534774925208E-2</v>
      </c>
    </row>
    <row r="112" spans="1:14" x14ac:dyDescent="0.25">
      <c r="A112" s="17" t="s">
        <v>21</v>
      </c>
      <c r="B112" s="2">
        <v>40268</v>
      </c>
      <c r="C112" s="3">
        <v>546.14</v>
      </c>
      <c r="D112" s="3">
        <v>414.79796618512319</v>
      </c>
      <c r="E112" s="3">
        <v>323.97392400484472</v>
      </c>
      <c r="F112" s="3">
        <v>514.08127368813143</v>
      </c>
      <c r="G112" t="s">
        <v>3</v>
      </c>
      <c r="H112" s="8">
        <f t="shared" si="4"/>
        <v>0.24049151099512359</v>
      </c>
      <c r="I112" s="13">
        <v>511.7025146484375</v>
      </c>
      <c r="J112" s="8">
        <f t="shared" si="5"/>
        <v>6.305614925030667E-2</v>
      </c>
      <c r="K112" s="13">
        <v>493.08843994140619</v>
      </c>
      <c r="L112" s="8">
        <f t="shared" si="6"/>
        <v>9.7139121944178772E-2</v>
      </c>
      <c r="M112" s="13">
        <v>494.06317138671881</v>
      </c>
      <c r="N112" s="8">
        <f t="shared" si="7"/>
        <v>9.5354357148865088E-2</v>
      </c>
    </row>
    <row r="113" spans="1:14" x14ac:dyDescent="0.25">
      <c r="A113" s="17" t="s">
        <v>21</v>
      </c>
      <c r="B113" s="2">
        <v>40298</v>
      </c>
      <c r="C113" s="3">
        <v>384.61</v>
      </c>
      <c r="D113" s="3">
        <v>406.0512052637319</v>
      </c>
      <c r="E113" s="3">
        <v>310.70688673534028</v>
      </c>
      <c r="F113" s="3">
        <v>494.6469553970922</v>
      </c>
      <c r="G113" t="s">
        <v>3</v>
      </c>
      <c r="H113" s="8">
        <f t="shared" si="4"/>
        <v>5.5747914156501099E-2</v>
      </c>
      <c r="I113" s="13">
        <v>338.66900634765619</v>
      </c>
      <c r="J113" s="8">
        <f t="shared" si="5"/>
        <v>0.11944825577167473</v>
      </c>
      <c r="K113" s="13">
        <v>402.29080200195313</v>
      </c>
      <c r="L113" s="8">
        <f t="shared" si="6"/>
        <v>4.5970728795281225E-2</v>
      </c>
      <c r="M113" s="13">
        <v>374.87969970703119</v>
      </c>
      <c r="N113" s="8">
        <f t="shared" si="7"/>
        <v>2.5299134949608226E-2</v>
      </c>
    </row>
    <row r="114" spans="1:14" x14ac:dyDescent="0.25">
      <c r="A114" s="17" t="s">
        <v>21</v>
      </c>
      <c r="B114" s="2">
        <v>40329</v>
      </c>
      <c r="C114" s="3">
        <v>199.5</v>
      </c>
      <c r="D114" s="3">
        <v>228.05832381702911</v>
      </c>
      <c r="E114" s="3">
        <v>145.14192766246529</v>
      </c>
      <c r="F114" s="3">
        <v>317.78287490873112</v>
      </c>
      <c r="G114" t="s">
        <v>3</v>
      </c>
      <c r="H114" s="8">
        <f t="shared" si="4"/>
        <v>0.1431494928171885</v>
      </c>
      <c r="I114" s="13">
        <v>223.17588806152341</v>
      </c>
      <c r="J114" s="8">
        <f t="shared" si="5"/>
        <v>0.11867613063420256</v>
      </c>
      <c r="K114" s="13">
        <v>233.91363525390619</v>
      </c>
      <c r="L114" s="8">
        <f t="shared" si="6"/>
        <v>0.17249942483160999</v>
      </c>
      <c r="M114" s="13">
        <v>245.42948913574219</v>
      </c>
      <c r="N114" s="8">
        <f t="shared" si="7"/>
        <v>0.23022300318667763</v>
      </c>
    </row>
    <row r="115" spans="1:14" x14ac:dyDescent="0.25">
      <c r="A115" s="17" t="s">
        <v>21</v>
      </c>
      <c r="B115" s="2">
        <v>40359</v>
      </c>
      <c r="C115" s="3">
        <v>205.25</v>
      </c>
      <c r="D115" s="3">
        <v>141.21956174757679</v>
      </c>
      <c r="E115" s="3">
        <v>50.910609392122851</v>
      </c>
      <c r="F115" s="3">
        <v>237.68209924383609</v>
      </c>
      <c r="G115" t="s">
        <v>3</v>
      </c>
      <c r="H115" s="8">
        <f t="shared" si="4"/>
        <v>0.3119631583552897</v>
      </c>
      <c r="I115" s="13">
        <v>143.97267150878909</v>
      </c>
      <c r="J115" s="8">
        <f t="shared" si="5"/>
        <v>0.29854971250285461</v>
      </c>
      <c r="K115" s="13">
        <v>150.7066345214844</v>
      </c>
      <c r="L115" s="8">
        <f t="shared" si="6"/>
        <v>0.26574112291603214</v>
      </c>
      <c r="M115" s="13">
        <v>146.19828796386719</v>
      </c>
      <c r="N115" s="8">
        <f t="shared" si="7"/>
        <v>0.28770627057799175</v>
      </c>
    </row>
    <row r="116" spans="1:14" x14ac:dyDescent="0.25">
      <c r="A116" s="17" t="s">
        <v>21</v>
      </c>
      <c r="B116" s="2">
        <v>40390</v>
      </c>
      <c r="C116" s="3">
        <v>72.760000000000005</v>
      </c>
      <c r="D116" s="3">
        <v>91.242427997970154</v>
      </c>
      <c r="E116" s="3">
        <v>-0.6033613449453864</v>
      </c>
      <c r="F116" s="3">
        <v>180.2882372867156</v>
      </c>
      <c r="G116" t="s">
        <v>3</v>
      </c>
      <c r="H116" s="8">
        <f t="shared" si="4"/>
        <v>0.25401907638771504</v>
      </c>
      <c r="I116" s="13">
        <v>101.87343597412109</v>
      </c>
      <c r="J116" s="8">
        <f t="shared" si="5"/>
        <v>0.40012968628533652</v>
      </c>
      <c r="K116" s="13">
        <v>104.25425720214839</v>
      </c>
      <c r="L116" s="8">
        <f t="shared" si="6"/>
        <v>0.43285125346548087</v>
      </c>
      <c r="M116" s="13">
        <v>100.536262512207</v>
      </c>
      <c r="N116" s="8">
        <f t="shared" si="7"/>
        <v>0.38175182122329571</v>
      </c>
    </row>
    <row r="117" spans="1:14" x14ac:dyDescent="0.25">
      <c r="A117" s="17" t="s">
        <v>21</v>
      </c>
      <c r="B117" s="2">
        <v>40421</v>
      </c>
      <c r="C117" s="3">
        <v>80.48</v>
      </c>
      <c r="D117" s="3">
        <v>47.599752574380901</v>
      </c>
      <c r="E117" s="3">
        <v>-41.299301733150223</v>
      </c>
      <c r="F117" s="3">
        <v>134.8047634801724</v>
      </c>
      <c r="G117" t="s">
        <v>3</v>
      </c>
      <c r="H117" s="8">
        <f t="shared" si="4"/>
        <v>0.40855178212747395</v>
      </c>
      <c r="I117" s="13">
        <v>90.296699523925781</v>
      </c>
      <c r="J117" s="8">
        <f t="shared" si="5"/>
        <v>0.12197688275255687</v>
      </c>
      <c r="K117" s="13">
        <v>79.577018737792969</v>
      </c>
      <c r="L117" s="8">
        <f t="shared" si="6"/>
        <v>1.1219946100982047E-2</v>
      </c>
      <c r="M117" s="13">
        <v>94.196479797363281</v>
      </c>
      <c r="N117" s="8">
        <f t="shared" si="7"/>
        <v>0.17043339708453376</v>
      </c>
    </row>
    <row r="118" spans="1:14" x14ac:dyDescent="0.25">
      <c r="A118" s="17" t="s">
        <v>21</v>
      </c>
      <c r="B118" s="2">
        <v>40451</v>
      </c>
      <c r="C118" s="3">
        <v>84.210000000000008</v>
      </c>
      <c r="D118" s="3">
        <v>76.980892747634158</v>
      </c>
      <c r="E118" s="3">
        <v>-17.66173027656907</v>
      </c>
      <c r="F118" s="3">
        <v>168.49996262885799</v>
      </c>
      <c r="G118" t="s">
        <v>3</v>
      </c>
      <c r="H118" s="8">
        <f t="shared" ref="H118:H181" si="8">IFERROR(ABS((C118-D118)/C118),0)</f>
        <v>8.5846185160501715E-2</v>
      </c>
      <c r="I118" s="13">
        <v>86.111282348632813</v>
      </c>
      <c r="J118" s="8">
        <f t="shared" si="5"/>
        <v>2.2577869001695814E-2</v>
      </c>
      <c r="K118" s="13">
        <v>88.928192138671875</v>
      </c>
      <c r="L118" s="8">
        <f t="shared" si="6"/>
        <v>5.6028881827239835E-2</v>
      </c>
      <c r="M118" s="13">
        <v>78.127426147460938</v>
      </c>
      <c r="N118" s="8">
        <f t="shared" si="7"/>
        <v>7.2231015942751095E-2</v>
      </c>
    </row>
    <row r="119" spans="1:14" x14ac:dyDescent="0.25">
      <c r="A119" s="17" t="s">
        <v>21</v>
      </c>
      <c r="B119" s="2">
        <v>40482</v>
      </c>
      <c r="C119" s="3">
        <v>42.28</v>
      </c>
      <c r="D119" s="3">
        <v>53.240868639395529</v>
      </c>
      <c r="E119" s="3">
        <v>-33.558832472157228</v>
      </c>
      <c r="F119" s="3">
        <v>148.58706324199991</v>
      </c>
      <c r="G119" t="s">
        <v>3</v>
      </c>
      <c r="H119" s="8">
        <f t="shared" si="8"/>
        <v>0.2592447644133285</v>
      </c>
      <c r="I119" s="13">
        <v>78.191047668457031</v>
      </c>
      <c r="J119" s="8">
        <f t="shared" si="5"/>
        <v>0.84936252763616438</v>
      </c>
      <c r="K119" s="13">
        <v>94.477912902832031</v>
      </c>
      <c r="L119" s="8">
        <f t="shared" si="6"/>
        <v>1.2345769371530755</v>
      </c>
      <c r="M119" s="13">
        <v>85.203498840332031</v>
      </c>
      <c r="N119" s="8">
        <f t="shared" si="7"/>
        <v>1.0152199347287614</v>
      </c>
    </row>
    <row r="120" spans="1:14" x14ac:dyDescent="0.25">
      <c r="A120" s="17" t="s">
        <v>21</v>
      </c>
      <c r="B120" s="2">
        <v>40512</v>
      </c>
      <c r="C120" s="3">
        <v>39.94</v>
      </c>
      <c r="D120" s="3">
        <v>6.0903005866031208</v>
      </c>
      <c r="E120" s="3">
        <v>-80.56708005867398</v>
      </c>
      <c r="F120" s="3">
        <v>100.51644095697429</v>
      </c>
      <c r="G120" t="s">
        <v>3</v>
      </c>
      <c r="H120" s="8">
        <f t="shared" si="8"/>
        <v>0.84751375596887524</v>
      </c>
      <c r="I120" s="13">
        <v>62.665843963623047</v>
      </c>
      <c r="J120" s="8">
        <f t="shared" si="5"/>
        <v>0.56899959848830872</v>
      </c>
      <c r="K120" s="13">
        <v>71.471275329589844</v>
      </c>
      <c r="L120" s="8">
        <f t="shared" si="6"/>
        <v>0.78946608236329108</v>
      </c>
      <c r="M120" s="13">
        <v>59.638553619384773</v>
      </c>
      <c r="N120" s="8">
        <f t="shared" si="7"/>
        <v>0.49320364595354971</v>
      </c>
    </row>
    <row r="121" spans="1:14" x14ac:dyDescent="0.25">
      <c r="A121" s="17" t="s">
        <v>21</v>
      </c>
      <c r="B121" s="2">
        <v>40543</v>
      </c>
      <c r="C121" s="3">
        <v>127.71</v>
      </c>
      <c r="D121" s="3">
        <v>62.034498328790853</v>
      </c>
      <c r="E121" s="3">
        <v>-25.73138763880419</v>
      </c>
      <c r="F121" s="3">
        <v>156.74176451530579</v>
      </c>
      <c r="G121" t="s">
        <v>3</v>
      </c>
      <c r="H121" s="8">
        <f t="shared" si="8"/>
        <v>0.51425496571301488</v>
      </c>
      <c r="I121" s="13">
        <v>78.983406066894531</v>
      </c>
      <c r="J121" s="8">
        <f t="shared" si="5"/>
        <v>0.38154094380319054</v>
      </c>
      <c r="K121" s="13">
        <v>81.038093566894531</v>
      </c>
      <c r="L121" s="8">
        <f t="shared" si="6"/>
        <v>0.36545224675519117</v>
      </c>
      <c r="M121" s="13">
        <v>87.903923034667969</v>
      </c>
      <c r="N121" s="8">
        <f t="shared" si="7"/>
        <v>0.31169115155690258</v>
      </c>
    </row>
    <row r="122" spans="1:14" x14ac:dyDescent="0.25">
      <c r="A122" s="17" t="s">
        <v>21</v>
      </c>
      <c r="B122" s="2">
        <v>40574</v>
      </c>
      <c r="C122" s="3">
        <v>317.7</v>
      </c>
      <c r="D122" s="3">
        <v>280.44335677584888</v>
      </c>
      <c r="E122" s="3">
        <v>94.685262010757768</v>
      </c>
      <c r="F122" s="3">
        <v>280.44335677584888</v>
      </c>
      <c r="G122" t="s">
        <v>3</v>
      </c>
      <c r="H122" s="8">
        <f t="shared" si="8"/>
        <v>0.11726988739109571</v>
      </c>
      <c r="I122" s="13">
        <v>248.08998107910159</v>
      </c>
      <c r="J122" s="8">
        <f t="shared" si="5"/>
        <v>0.21910613446930563</v>
      </c>
      <c r="K122" s="13">
        <v>245.6092529296875</v>
      </c>
      <c r="L122" s="8">
        <f t="shared" si="6"/>
        <v>0.22691453279922094</v>
      </c>
      <c r="M122" s="13">
        <v>304.5986328125</v>
      </c>
      <c r="N122" s="8">
        <f t="shared" si="7"/>
        <v>4.1238171820900185E-2</v>
      </c>
    </row>
    <row r="123" spans="1:14" x14ac:dyDescent="0.25">
      <c r="A123" s="17" t="s">
        <v>21</v>
      </c>
      <c r="B123" s="2">
        <v>40602</v>
      </c>
      <c r="C123" s="3">
        <v>182.96</v>
      </c>
      <c r="D123" s="3">
        <v>196.53010283718999</v>
      </c>
      <c r="E123" s="3">
        <v>205.32897768087719</v>
      </c>
      <c r="F123" s="3">
        <v>388.28061339170648</v>
      </c>
      <c r="G123" t="s">
        <v>3</v>
      </c>
      <c r="H123" s="8">
        <f t="shared" si="8"/>
        <v>7.4169779389975835E-2</v>
      </c>
      <c r="I123" s="13">
        <v>381.58071899414063</v>
      </c>
      <c r="J123" s="8">
        <f t="shared" si="5"/>
        <v>1.0855964090191332</v>
      </c>
      <c r="K123" s="13">
        <v>402.95980834960938</v>
      </c>
      <c r="L123" s="8">
        <f t="shared" si="6"/>
        <v>1.2024475751509038</v>
      </c>
      <c r="M123" s="13">
        <v>355.04837036132813</v>
      </c>
      <c r="N123" s="8">
        <f t="shared" si="7"/>
        <v>0.94057919961373038</v>
      </c>
    </row>
    <row r="124" spans="1:14" x14ac:dyDescent="0.25">
      <c r="A124" s="17" t="s">
        <v>21</v>
      </c>
      <c r="B124" s="2">
        <v>40633</v>
      </c>
      <c r="C124" s="3">
        <v>129.88</v>
      </c>
      <c r="D124" s="3">
        <v>142.571532907669</v>
      </c>
      <c r="E124" s="3">
        <v>249.09643437459391</v>
      </c>
      <c r="F124" s="3">
        <v>433.53802152405927</v>
      </c>
      <c r="G124" t="s">
        <v>3</v>
      </c>
      <c r="H124" s="8">
        <f t="shared" si="8"/>
        <v>9.7717376868409297E-2</v>
      </c>
      <c r="I124" s="13">
        <v>348.82000732421881</v>
      </c>
      <c r="J124" s="8">
        <f t="shared" si="5"/>
        <v>1.6857099424408595</v>
      </c>
      <c r="K124" s="13">
        <v>369.78369140625</v>
      </c>
      <c r="L124" s="8">
        <f t="shared" si="6"/>
        <v>1.8471180428568679</v>
      </c>
      <c r="M124" s="13">
        <v>301.98019409179688</v>
      </c>
      <c r="N124" s="8">
        <f t="shared" si="7"/>
        <v>1.3250707891268623</v>
      </c>
    </row>
    <row r="125" spans="1:14" x14ac:dyDescent="0.25">
      <c r="A125" s="17" t="s">
        <v>21</v>
      </c>
      <c r="B125" s="2">
        <v>40663</v>
      </c>
      <c r="C125" s="3">
        <v>293.49</v>
      </c>
      <c r="D125" s="3">
        <v>252.01530069477209</v>
      </c>
      <c r="E125" s="3">
        <v>252.01530069477209</v>
      </c>
      <c r="F125" s="3">
        <v>435.46288722712052</v>
      </c>
      <c r="G125" t="s">
        <v>3</v>
      </c>
      <c r="H125" s="8">
        <f t="shared" si="8"/>
        <v>0.14131554501082802</v>
      </c>
      <c r="I125" s="13">
        <v>237.08992004394531</v>
      </c>
      <c r="J125" s="8">
        <f t="shared" si="5"/>
        <v>0.19217036340609456</v>
      </c>
      <c r="K125" s="13">
        <v>260.1298828125</v>
      </c>
      <c r="L125" s="8">
        <f t="shared" si="6"/>
        <v>0.11366696373811717</v>
      </c>
      <c r="M125" s="13">
        <v>219.44386291503909</v>
      </c>
      <c r="N125" s="8">
        <f t="shared" si="7"/>
        <v>0.25229526418263287</v>
      </c>
    </row>
    <row r="126" spans="1:14" x14ac:dyDescent="0.25">
      <c r="A126" s="17" t="s">
        <v>21</v>
      </c>
      <c r="B126" s="2">
        <v>40694</v>
      </c>
      <c r="C126" s="3">
        <v>107.42</v>
      </c>
      <c r="D126" s="3">
        <v>107.90011745891231</v>
      </c>
      <c r="E126" s="3">
        <v>107.90011745891231</v>
      </c>
      <c r="F126" s="3">
        <v>285.68373457367682</v>
      </c>
      <c r="G126" t="s">
        <v>3</v>
      </c>
      <c r="H126" s="8">
        <f t="shared" si="8"/>
        <v>4.4695350857596686E-3</v>
      </c>
      <c r="I126" s="13">
        <v>171.89588928222659</v>
      </c>
      <c r="J126" s="8">
        <f t="shared" si="5"/>
        <v>0.60022239138174072</v>
      </c>
      <c r="K126" s="13">
        <v>187.1934814453125</v>
      </c>
      <c r="L126" s="8">
        <f t="shared" si="6"/>
        <v>0.74263155320529228</v>
      </c>
      <c r="M126" s="13">
        <v>170.6591491699219</v>
      </c>
      <c r="N126" s="8">
        <f t="shared" si="7"/>
        <v>0.58870926428897696</v>
      </c>
    </row>
    <row r="127" spans="1:14" x14ac:dyDescent="0.25">
      <c r="A127" s="17" t="s">
        <v>21</v>
      </c>
      <c r="B127" s="2">
        <v>40724</v>
      </c>
      <c r="C127" s="3">
        <v>153.15</v>
      </c>
      <c r="D127" s="3">
        <v>145.8310531284562</v>
      </c>
      <c r="E127" s="3">
        <v>55.048935064655879</v>
      </c>
      <c r="F127" s="3">
        <v>234.84974068240851</v>
      </c>
      <c r="G127" t="s">
        <v>3</v>
      </c>
      <c r="H127" s="8">
        <f t="shared" si="8"/>
        <v>4.778940170776233E-2</v>
      </c>
      <c r="I127" s="13">
        <v>117.95639801025391</v>
      </c>
      <c r="J127" s="8">
        <f t="shared" si="5"/>
        <v>0.229798250014666</v>
      </c>
      <c r="K127" s="13">
        <v>125.97625732421881</v>
      </c>
      <c r="L127" s="8">
        <f t="shared" si="6"/>
        <v>0.17743220813438587</v>
      </c>
      <c r="M127" s="13">
        <v>123.7698593139648</v>
      </c>
      <c r="N127" s="8">
        <f t="shared" si="7"/>
        <v>0.19183898587029188</v>
      </c>
    </row>
    <row r="128" spans="1:14" x14ac:dyDescent="0.25">
      <c r="A128" s="17" t="s">
        <v>21</v>
      </c>
      <c r="B128" s="2">
        <v>40755</v>
      </c>
      <c r="C128" s="3">
        <v>107.87</v>
      </c>
      <c r="D128" s="3">
        <v>93.481587439988914</v>
      </c>
      <c r="E128" s="3">
        <v>-0.82413856309124067</v>
      </c>
      <c r="F128" s="3">
        <v>179.98881892998591</v>
      </c>
      <c r="G128" t="s">
        <v>3</v>
      </c>
      <c r="H128" s="8">
        <f t="shared" si="8"/>
        <v>0.13338660016697035</v>
      </c>
      <c r="I128" s="13">
        <v>95.350860595703125</v>
      </c>
      <c r="J128" s="8">
        <f t="shared" si="5"/>
        <v>0.11605765647813923</v>
      </c>
      <c r="K128" s="13">
        <v>88.573654174804688</v>
      </c>
      <c r="L128" s="8">
        <f t="shared" si="6"/>
        <v>0.17888519352178842</v>
      </c>
      <c r="M128" s="13">
        <v>85.883033752441406</v>
      </c>
      <c r="N128" s="8">
        <f t="shared" si="7"/>
        <v>0.20382836977434501</v>
      </c>
    </row>
    <row r="129" spans="1:14" x14ac:dyDescent="0.25">
      <c r="A129" s="17" t="s">
        <v>21</v>
      </c>
      <c r="B129" s="2">
        <v>40786</v>
      </c>
      <c r="C129" s="3">
        <v>24.44</v>
      </c>
      <c r="D129" s="3">
        <v>27.118362071254982</v>
      </c>
      <c r="E129" s="3">
        <v>-58.009780681350591</v>
      </c>
      <c r="F129" s="3">
        <v>116.1664191976428</v>
      </c>
      <c r="G129" t="s">
        <v>3</v>
      </c>
      <c r="H129" s="8">
        <f t="shared" si="8"/>
        <v>0.10958928278457367</v>
      </c>
      <c r="I129" s="13">
        <v>89.672431945800781</v>
      </c>
      <c r="J129" s="8">
        <f t="shared" si="5"/>
        <v>2.6690847768330923</v>
      </c>
      <c r="K129" s="13">
        <v>89.4014892578125</v>
      </c>
      <c r="L129" s="8">
        <f t="shared" si="6"/>
        <v>2.6579987421363542</v>
      </c>
      <c r="M129" s="13">
        <v>75.731826782226563</v>
      </c>
      <c r="N129" s="8">
        <f t="shared" si="7"/>
        <v>2.0986835835608249</v>
      </c>
    </row>
    <row r="130" spans="1:14" x14ac:dyDescent="0.25">
      <c r="A130" s="17" t="s">
        <v>21</v>
      </c>
      <c r="B130" s="2">
        <v>40816</v>
      </c>
      <c r="C130" s="3">
        <v>111.83</v>
      </c>
      <c r="D130" s="3">
        <v>75.387805799182942</v>
      </c>
      <c r="E130" s="3">
        <v>-17.01864935762034</v>
      </c>
      <c r="F130" s="3">
        <v>163.99879841769561</v>
      </c>
      <c r="G130" t="s">
        <v>3</v>
      </c>
      <c r="H130" s="8">
        <f t="shared" si="8"/>
        <v>0.32587136010745826</v>
      </c>
      <c r="I130" s="13">
        <v>74.010292053222656</v>
      </c>
      <c r="J130" s="8">
        <f t="shared" ref="J130:J193" si="9">IFERROR(ABS((C130-I130)/C130),0)</f>
        <v>0.33818928683517252</v>
      </c>
      <c r="K130" s="13">
        <v>88.038230895996094</v>
      </c>
      <c r="L130" s="8">
        <f t="shared" si="6"/>
        <v>0.21274943310385322</v>
      </c>
      <c r="M130" s="13">
        <v>84.475181579589844</v>
      </c>
      <c r="N130" s="8">
        <f t="shared" si="7"/>
        <v>0.24461073433255973</v>
      </c>
    </row>
    <row r="131" spans="1:14" x14ac:dyDescent="0.25">
      <c r="A131" s="17" t="s">
        <v>21</v>
      </c>
      <c r="B131" s="2">
        <v>40847</v>
      </c>
      <c r="C131" s="3">
        <v>44.73</v>
      </c>
      <c r="D131" s="3">
        <v>71.882411194380623</v>
      </c>
      <c r="E131" s="3">
        <v>-20.54609597783708</v>
      </c>
      <c r="F131" s="3">
        <v>159.74119074321479</v>
      </c>
      <c r="G131" t="s">
        <v>3</v>
      </c>
      <c r="H131" s="8">
        <f t="shared" si="8"/>
        <v>0.60702908997050364</v>
      </c>
      <c r="I131" s="13">
        <v>45.220615386962891</v>
      </c>
      <c r="J131" s="8">
        <f t="shared" si="9"/>
        <v>1.09683744011378E-2</v>
      </c>
      <c r="K131" s="13">
        <v>48.636440277099609</v>
      </c>
      <c r="L131" s="8">
        <f t="shared" ref="L131:L194" si="10">IFERROR(ABS((C131-K131)/C131),0)</f>
        <v>8.7333786655479834E-2</v>
      </c>
      <c r="M131" s="13">
        <v>70.290916442871094</v>
      </c>
      <c r="N131" s="8">
        <f t="shared" ref="N131:N194" si="11">IFERROR(ABS((C131-M131)/C131),0)</f>
        <v>0.57144905975566951</v>
      </c>
    </row>
    <row r="132" spans="1:14" x14ac:dyDescent="0.25">
      <c r="A132" s="17" t="s">
        <v>21</v>
      </c>
      <c r="B132" s="2">
        <v>40877</v>
      </c>
      <c r="C132" s="3">
        <v>31.8</v>
      </c>
      <c r="D132" s="3">
        <v>63.129042990347777</v>
      </c>
      <c r="E132" s="3">
        <v>-28.87939240834633</v>
      </c>
      <c r="F132" s="3">
        <v>151.2942045385129</v>
      </c>
      <c r="G132" t="s">
        <v>3</v>
      </c>
      <c r="H132" s="8">
        <f t="shared" si="8"/>
        <v>0.98519003114301185</v>
      </c>
      <c r="I132" s="13">
        <v>25.368898391723629</v>
      </c>
      <c r="J132" s="8">
        <f t="shared" si="9"/>
        <v>0.20223589963133243</v>
      </c>
      <c r="K132" s="13">
        <v>25.834566116333011</v>
      </c>
      <c r="L132" s="8">
        <f t="shared" si="10"/>
        <v>0.18759226049267261</v>
      </c>
      <c r="M132" s="13">
        <v>47.481555938720703</v>
      </c>
      <c r="N132" s="8">
        <f t="shared" si="11"/>
        <v>0.49313068989687742</v>
      </c>
    </row>
    <row r="133" spans="1:14" x14ac:dyDescent="0.25">
      <c r="A133" s="17" t="s">
        <v>21</v>
      </c>
      <c r="B133" s="2">
        <v>40908</v>
      </c>
      <c r="C133" s="3">
        <v>54.85</v>
      </c>
      <c r="D133" s="3">
        <v>153.51813395257511</v>
      </c>
      <c r="E133" s="3">
        <v>62.36851086169824</v>
      </c>
      <c r="F133" s="3">
        <v>245.63716169319571</v>
      </c>
      <c r="G133" t="s">
        <v>3</v>
      </c>
      <c r="H133" s="8">
        <f t="shared" si="8"/>
        <v>1.798872086646766</v>
      </c>
      <c r="I133" s="13">
        <v>92.470413208007813</v>
      </c>
      <c r="J133" s="8">
        <f t="shared" si="9"/>
        <v>0.68587808948054352</v>
      </c>
      <c r="K133" s="13">
        <v>77.793479919433594</v>
      </c>
      <c r="L133" s="8">
        <f t="shared" si="10"/>
        <v>0.41829498485749483</v>
      </c>
      <c r="M133" s="13">
        <v>92.005889892578125</v>
      </c>
      <c r="N133" s="8">
        <f t="shared" si="11"/>
        <v>0.67740911381181623</v>
      </c>
    </row>
    <row r="134" spans="1:14" x14ac:dyDescent="0.25">
      <c r="A134" s="17" t="s">
        <v>21</v>
      </c>
      <c r="B134" s="2">
        <v>40939</v>
      </c>
      <c r="C134" s="3">
        <v>431.97</v>
      </c>
      <c r="D134" s="3">
        <v>270.97221629785309</v>
      </c>
      <c r="E134" s="3">
        <v>179.10337550400089</v>
      </c>
      <c r="F134" s="3">
        <v>358.39421262289318</v>
      </c>
      <c r="G134" t="s">
        <v>3</v>
      </c>
      <c r="H134" s="8">
        <f t="shared" si="8"/>
        <v>0.37270593722283241</v>
      </c>
      <c r="I134" s="13">
        <v>300.45565795898438</v>
      </c>
      <c r="J134" s="8">
        <f t="shared" si="9"/>
        <v>0.30445248985118328</v>
      </c>
      <c r="K134" s="13">
        <v>262.448486328125</v>
      </c>
      <c r="L134" s="8">
        <f t="shared" si="10"/>
        <v>0.39243816392776121</v>
      </c>
      <c r="M134" s="13">
        <v>322.23046875</v>
      </c>
      <c r="N134" s="8">
        <f t="shared" si="11"/>
        <v>0.25404433467601922</v>
      </c>
    </row>
    <row r="135" spans="1:14" x14ac:dyDescent="0.25">
      <c r="A135" s="17" t="s">
        <v>21</v>
      </c>
      <c r="B135" s="2">
        <v>40968</v>
      </c>
      <c r="C135" s="3">
        <v>719.86</v>
      </c>
      <c r="D135" s="3">
        <v>634.5506242450524</v>
      </c>
      <c r="E135" s="3">
        <v>538.95998780695516</v>
      </c>
      <c r="F135" s="3">
        <v>720.52151259988682</v>
      </c>
      <c r="G135" t="s">
        <v>3</v>
      </c>
      <c r="H135" s="8">
        <f t="shared" si="8"/>
        <v>0.11850828738219599</v>
      </c>
      <c r="I135" s="13">
        <v>668.76617431640625</v>
      </c>
      <c r="J135" s="8">
        <f t="shared" si="9"/>
        <v>7.0977447953204459E-2</v>
      </c>
      <c r="K135" s="13">
        <v>492.71560668945313</v>
      </c>
      <c r="L135" s="8">
        <f t="shared" si="10"/>
        <v>0.31553967898000568</v>
      </c>
      <c r="M135" s="13">
        <v>570.26776123046875</v>
      </c>
      <c r="N135" s="8">
        <f t="shared" si="11"/>
        <v>0.207807405286488</v>
      </c>
    </row>
    <row r="136" spans="1:14" x14ac:dyDescent="0.25">
      <c r="A136" s="17" t="s">
        <v>21</v>
      </c>
      <c r="B136" s="2">
        <v>40999</v>
      </c>
      <c r="C136" s="3">
        <v>688.5</v>
      </c>
      <c r="D136" s="3">
        <v>663.68344408036887</v>
      </c>
      <c r="E136" s="3">
        <v>566.7521112155423</v>
      </c>
      <c r="F136" s="3">
        <v>755.47899298246887</v>
      </c>
      <c r="G136" t="s">
        <v>3</v>
      </c>
      <c r="H136" s="8">
        <f t="shared" si="8"/>
        <v>3.6044380420669757E-2</v>
      </c>
      <c r="I136" s="13">
        <v>632.74462890625</v>
      </c>
      <c r="J136" s="8">
        <f t="shared" si="9"/>
        <v>8.0980931145606394E-2</v>
      </c>
      <c r="K136" s="13">
        <v>614.95977783203125</v>
      </c>
      <c r="L136" s="8">
        <f t="shared" si="10"/>
        <v>0.10681223263321532</v>
      </c>
      <c r="M136" s="13">
        <v>607.1971435546875</v>
      </c>
      <c r="N136" s="8">
        <f t="shared" si="11"/>
        <v>0.11808693746595861</v>
      </c>
    </row>
    <row r="137" spans="1:14" x14ac:dyDescent="0.25">
      <c r="A137" s="17" t="s">
        <v>21</v>
      </c>
      <c r="B137" s="2">
        <v>41029</v>
      </c>
      <c r="C137" s="3">
        <v>414.16</v>
      </c>
      <c r="D137" s="3">
        <v>355.46748849874888</v>
      </c>
      <c r="E137" s="3">
        <v>264.62871580481362</v>
      </c>
      <c r="F137" s="3">
        <v>441.4697384147903</v>
      </c>
      <c r="G137" t="s">
        <v>3</v>
      </c>
      <c r="H137" s="8">
        <f t="shared" si="8"/>
        <v>0.14171458253151231</v>
      </c>
      <c r="I137" s="13">
        <v>398.12136840820313</v>
      </c>
      <c r="J137" s="8">
        <f t="shared" si="9"/>
        <v>3.8725689568758208E-2</v>
      </c>
      <c r="K137" s="13">
        <v>452.18798828125</v>
      </c>
      <c r="L137" s="8">
        <f t="shared" si="10"/>
        <v>9.1819558337961113E-2</v>
      </c>
      <c r="M137" s="13">
        <v>392.3077392578125</v>
      </c>
      <c r="N137" s="8">
        <f t="shared" si="11"/>
        <v>5.2762847069218473E-2</v>
      </c>
    </row>
    <row r="138" spans="1:14" x14ac:dyDescent="0.25">
      <c r="A138" s="17" t="s">
        <v>21</v>
      </c>
      <c r="B138" s="2">
        <v>41060</v>
      </c>
      <c r="C138" s="3">
        <v>335.27</v>
      </c>
      <c r="D138" s="3">
        <v>242.18281909394361</v>
      </c>
      <c r="E138" s="3">
        <v>150.04068280671109</v>
      </c>
      <c r="F138" s="3">
        <v>325.44962320735891</v>
      </c>
      <c r="G138" t="s">
        <v>3</v>
      </c>
      <c r="H138" s="8">
        <f t="shared" si="8"/>
        <v>0.2776484054823169</v>
      </c>
      <c r="I138" s="13">
        <v>220.10301208496091</v>
      </c>
      <c r="J138" s="8">
        <f t="shared" si="9"/>
        <v>0.34350519854159062</v>
      </c>
      <c r="K138" s="13">
        <v>227.8261413574219</v>
      </c>
      <c r="L138" s="8">
        <f t="shared" si="10"/>
        <v>0.32046964727705457</v>
      </c>
      <c r="M138" s="13">
        <v>242.13349914550781</v>
      </c>
      <c r="N138" s="8">
        <f t="shared" si="11"/>
        <v>0.27779551064661967</v>
      </c>
    </row>
    <row r="139" spans="1:14" x14ac:dyDescent="0.25">
      <c r="A139" s="17" t="s">
        <v>21</v>
      </c>
      <c r="B139" s="2">
        <v>41090</v>
      </c>
      <c r="C139" s="3">
        <v>148.75</v>
      </c>
      <c r="D139" s="3">
        <v>128.98555813957361</v>
      </c>
      <c r="E139" s="3">
        <v>35.525667620085159</v>
      </c>
      <c r="F139" s="3">
        <v>211.8511132643348</v>
      </c>
      <c r="G139" t="s">
        <v>3</v>
      </c>
      <c r="H139" s="8">
        <f t="shared" si="8"/>
        <v>0.13287019738101774</v>
      </c>
      <c r="I139" s="13">
        <v>150.49665832519531</v>
      </c>
      <c r="J139" s="8">
        <f t="shared" si="9"/>
        <v>1.1742240841649159E-2</v>
      </c>
      <c r="K139" s="13">
        <v>163.41789245605469</v>
      </c>
      <c r="L139" s="8">
        <f t="shared" si="10"/>
        <v>9.860768037683823E-2</v>
      </c>
      <c r="M139" s="13">
        <v>162.05946350097659</v>
      </c>
      <c r="N139" s="8">
        <f t="shared" si="11"/>
        <v>8.9475384880514902E-2</v>
      </c>
    </row>
    <row r="140" spans="1:14" x14ac:dyDescent="0.25">
      <c r="A140" s="17" t="s">
        <v>21</v>
      </c>
      <c r="B140" s="2">
        <v>41121</v>
      </c>
      <c r="C140" s="3">
        <v>99.37</v>
      </c>
      <c r="D140" s="3">
        <v>109.0610672296699</v>
      </c>
      <c r="E140" s="3">
        <v>21.962386008939411</v>
      </c>
      <c r="F140" s="3">
        <v>199.14258182448199</v>
      </c>
      <c r="G140" t="s">
        <v>3</v>
      </c>
      <c r="H140" s="8">
        <f t="shared" si="8"/>
        <v>9.7525080302605385E-2</v>
      </c>
      <c r="I140" s="13">
        <v>98.974983215332031</v>
      </c>
      <c r="J140" s="8">
        <f t="shared" si="9"/>
        <v>3.975211680265405E-3</v>
      </c>
      <c r="K140" s="13">
        <v>108.5365371704102</v>
      </c>
      <c r="L140" s="8">
        <f t="shared" si="10"/>
        <v>9.2246524810407501E-2</v>
      </c>
      <c r="M140" s="13">
        <v>109.89918518066411</v>
      </c>
      <c r="N140" s="8">
        <f t="shared" si="11"/>
        <v>0.10595939600145014</v>
      </c>
    </row>
    <row r="141" spans="1:14" x14ac:dyDescent="0.25">
      <c r="A141" s="17" t="s">
        <v>21</v>
      </c>
      <c r="B141" s="2">
        <v>41152</v>
      </c>
      <c r="C141" s="3">
        <v>62.81</v>
      </c>
      <c r="D141" s="3">
        <v>109.9871066459277</v>
      </c>
      <c r="E141" s="3">
        <v>21.178970391709012</v>
      </c>
      <c r="F141" s="3">
        <v>201.3827441951569</v>
      </c>
      <c r="G141" t="s">
        <v>3</v>
      </c>
      <c r="H141" s="8">
        <f t="shared" si="8"/>
        <v>0.7511082096151519</v>
      </c>
      <c r="I141" s="13">
        <v>84.657661437988281</v>
      </c>
      <c r="J141" s="8">
        <f t="shared" si="9"/>
        <v>0.3478373099504582</v>
      </c>
      <c r="K141" s="13">
        <v>76.6629638671875</v>
      </c>
      <c r="L141" s="8">
        <f t="shared" si="10"/>
        <v>0.22055347663091063</v>
      </c>
      <c r="M141" s="13">
        <v>80.432235717773438</v>
      </c>
      <c r="N141" s="8">
        <f t="shared" si="11"/>
        <v>0.28056417318537547</v>
      </c>
    </row>
    <row r="142" spans="1:14" x14ac:dyDescent="0.25">
      <c r="A142" s="17" t="s">
        <v>21</v>
      </c>
      <c r="B142" s="2">
        <v>41182</v>
      </c>
      <c r="C142" s="3">
        <v>88.62</v>
      </c>
      <c r="D142" s="3">
        <v>145.4693083879429</v>
      </c>
      <c r="E142" s="3">
        <v>55.177391894907863</v>
      </c>
      <c r="F142" s="3">
        <v>236.0253166151152</v>
      </c>
      <c r="G142" t="s">
        <v>3</v>
      </c>
      <c r="H142" s="8">
        <f t="shared" si="8"/>
        <v>0.64149524247283796</v>
      </c>
      <c r="I142" s="13">
        <v>83.160545349121094</v>
      </c>
      <c r="J142" s="8">
        <f t="shared" si="9"/>
        <v>6.1605220614747352E-2</v>
      </c>
      <c r="K142" s="13">
        <v>84.727264404296875</v>
      </c>
      <c r="L142" s="8">
        <f t="shared" si="10"/>
        <v>4.3926152061646684E-2</v>
      </c>
      <c r="M142" s="13">
        <v>91.594718933105469</v>
      </c>
      <c r="N142" s="8">
        <f t="shared" si="11"/>
        <v>3.3567128561334508E-2</v>
      </c>
    </row>
    <row r="143" spans="1:14" x14ac:dyDescent="0.25">
      <c r="A143" s="17" t="s">
        <v>21</v>
      </c>
      <c r="B143" s="2">
        <v>41213</v>
      </c>
      <c r="C143" s="3">
        <v>42.95</v>
      </c>
      <c r="D143" s="3">
        <v>59.343704845372123</v>
      </c>
      <c r="E143" s="3">
        <v>-23.58650857507126</v>
      </c>
      <c r="F143" s="3">
        <v>154.78118189281491</v>
      </c>
      <c r="G143" t="s">
        <v>3</v>
      </c>
      <c r="H143" s="8">
        <f t="shared" si="8"/>
        <v>0.38169277870482232</v>
      </c>
      <c r="I143" s="13">
        <v>81.662803649902344</v>
      </c>
      <c r="J143" s="8">
        <f t="shared" si="9"/>
        <v>0.90134583585337225</v>
      </c>
      <c r="K143" s="13">
        <v>97.563705444335938</v>
      </c>
      <c r="L143" s="8">
        <f t="shared" si="10"/>
        <v>1.2715647367715002</v>
      </c>
      <c r="M143" s="13">
        <v>80.693977355957031</v>
      </c>
      <c r="N143" s="8">
        <f t="shared" si="11"/>
        <v>0.87878876265324857</v>
      </c>
    </row>
    <row r="144" spans="1:14" x14ac:dyDescent="0.25">
      <c r="A144" s="17" t="s">
        <v>21</v>
      </c>
      <c r="B144" s="2">
        <v>41243</v>
      </c>
      <c r="C144" s="3">
        <v>53.67</v>
      </c>
      <c r="D144" s="3">
        <v>50.785102095950627</v>
      </c>
      <c r="E144" s="3">
        <v>-42.397890933187192</v>
      </c>
      <c r="F144" s="3">
        <v>141.55922181310049</v>
      </c>
      <c r="G144" t="s">
        <v>3</v>
      </c>
      <c r="H144" s="8">
        <f t="shared" si="8"/>
        <v>5.3752522900118768E-2</v>
      </c>
      <c r="I144" s="13">
        <v>68.211441040039063</v>
      </c>
      <c r="J144" s="8">
        <f t="shared" si="9"/>
        <v>0.27094170001936019</v>
      </c>
      <c r="K144" s="13">
        <v>89.670501708984375</v>
      </c>
      <c r="L144" s="8">
        <f t="shared" si="10"/>
        <v>0.67077513897865426</v>
      </c>
      <c r="M144" s="13">
        <v>71.902397155761719</v>
      </c>
      <c r="N144" s="8">
        <f t="shared" si="11"/>
        <v>0.33971300830560308</v>
      </c>
    </row>
    <row r="145" spans="1:14" x14ac:dyDescent="0.25">
      <c r="A145" s="17" t="s">
        <v>21</v>
      </c>
      <c r="B145" s="2">
        <v>41274</v>
      </c>
      <c r="C145" s="3">
        <v>46.04</v>
      </c>
      <c r="D145" s="3">
        <v>46.59257863092293</v>
      </c>
      <c r="E145" s="3">
        <v>-44.563132058350853</v>
      </c>
      <c r="F145" s="3">
        <v>133.44449307012869</v>
      </c>
      <c r="G145" t="s">
        <v>3</v>
      </c>
      <c r="H145" s="8">
        <f t="shared" si="8"/>
        <v>1.2002142287639669E-2</v>
      </c>
      <c r="I145" s="13">
        <v>85.733589172363281</v>
      </c>
      <c r="J145" s="8">
        <f t="shared" si="9"/>
        <v>0.86215441295315554</v>
      </c>
      <c r="K145" s="13">
        <v>104.4214630126953</v>
      </c>
      <c r="L145" s="8">
        <f t="shared" si="10"/>
        <v>1.2680595789030256</v>
      </c>
      <c r="M145" s="13">
        <v>89.746589660644531</v>
      </c>
      <c r="N145" s="8">
        <f t="shared" si="11"/>
        <v>0.94931775978810884</v>
      </c>
    </row>
    <row r="146" spans="1:14" x14ac:dyDescent="0.25">
      <c r="A146" s="17" t="s">
        <v>21</v>
      </c>
      <c r="B146" s="2">
        <v>41305</v>
      </c>
      <c r="C146" s="3">
        <v>286.77999999999997</v>
      </c>
      <c r="D146" s="3">
        <v>293.09879735084758</v>
      </c>
      <c r="E146" s="3">
        <v>202.17137672071951</v>
      </c>
      <c r="F146" s="3">
        <v>378.96725325262162</v>
      </c>
      <c r="G146" t="s">
        <v>3</v>
      </c>
      <c r="H146" s="8">
        <f t="shared" si="8"/>
        <v>2.2033605379899589E-2</v>
      </c>
      <c r="I146" s="13">
        <v>266.69757080078119</v>
      </c>
      <c r="J146" s="8">
        <f t="shared" si="9"/>
        <v>7.0027300366897208E-2</v>
      </c>
      <c r="K146" s="13">
        <v>244.69895935058591</v>
      </c>
      <c r="L146" s="8">
        <f t="shared" si="10"/>
        <v>0.14673631581495944</v>
      </c>
      <c r="M146" s="13">
        <v>235.5411376953125</v>
      </c>
      <c r="N146" s="8">
        <f t="shared" si="11"/>
        <v>0.17866958053102544</v>
      </c>
    </row>
    <row r="147" spans="1:14" x14ac:dyDescent="0.25">
      <c r="A147" s="17" t="s">
        <v>21</v>
      </c>
      <c r="B147" s="2">
        <v>41333</v>
      </c>
      <c r="C147" s="3">
        <v>448.34</v>
      </c>
      <c r="D147" s="3">
        <v>419.34897741649161</v>
      </c>
      <c r="E147" s="3">
        <v>334.29828758247248</v>
      </c>
      <c r="F147" s="3">
        <v>503.83371676716928</v>
      </c>
      <c r="G147" t="s">
        <v>3</v>
      </c>
      <c r="H147" s="8">
        <f t="shared" si="8"/>
        <v>6.4663029360548629E-2</v>
      </c>
      <c r="I147" s="13">
        <v>384.59915161132813</v>
      </c>
      <c r="J147" s="8">
        <f t="shared" si="9"/>
        <v>0.14217078197053989</v>
      </c>
      <c r="K147" s="13">
        <v>376.02188110351563</v>
      </c>
      <c r="L147" s="8">
        <f t="shared" si="10"/>
        <v>0.16130195587385546</v>
      </c>
      <c r="M147" s="13">
        <v>390.8876953125</v>
      </c>
      <c r="N147" s="8">
        <f t="shared" si="11"/>
        <v>0.12814449901302577</v>
      </c>
    </row>
    <row r="148" spans="1:14" x14ac:dyDescent="0.25">
      <c r="A148" s="17" t="s">
        <v>21</v>
      </c>
      <c r="B148" s="2">
        <v>41364</v>
      </c>
      <c r="C148" s="3">
        <v>532.58000000000004</v>
      </c>
      <c r="D148" s="3">
        <v>434.67931469741183</v>
      </c>
      <c r="E148" s="3">
        <v>342.88283665402031</v>
      </c>
      <c r="F148" s="3">
        <v>523.01992837441992</v>
      </c>
      <c r="G148" t="s">
        <v>3</v>
      </c>
      <c r="H148" s="8">
        <f t="shared" si="8"/>
        <v>0.18382343554506028</v>
      </c>
      <c r="I148" s="13">
        <v>430.66683959960938</v>
      </c>
      <c r="J148" s="8">
        <f t="shared" si="9"/>
        <v>0.19135746817452901</v>
      </c>
      <c r="K148" s="13">
        <v>450.17855834960938</v>
      </c>
      <c r="L148" s="8">
        <f t="shared" si="10"/>
        <v>0.15472124685566613</v>
      </c>
      <c r="M148" s="13">
        <v>465.73660278320313</v>
      </c>
      <c r="N148" s="8">
        <f t="shared" si="11"/>
        <v>0.12550865075067955</v>
      </c>
    </row>
    <row r="149" spans="1:14" x14ac:dyDescent="0.25">
      <c r="A149" s="17" t="s">
        <v>21</v>
      </c>
      <c r="B149" s="2">
        <v>41394</v>
      </c>
      <c r="C149" s="3">
        <v>352.9</v>
      </c>
      <c r="D149" s="3">
        <v>360.62273507201542</v>
      </c>
      <c r="E149" s="3">
        <v>272.22085402846272</v>
      </c>
      <c r="F149" s="3">
        <v>459.08893876775352</v>
      </c>
      <c r="G149" t="s">
        <v>3</v>
      </c>
      <c r="H149" s="8">
        <f t="shared" si="8"/>
        <v>2.1883635794886482E-2</v>
      </c>
      <c r="I149" s="13">
        <v>372.63693237304688</v>
      </c>
      <c r="J149" s="8">
        <f t="shared" si="9"/>
        <v>5.5927833304185035E-2</v>
      </c>
      <c r="K149" s="13">
        <v>403.4473876953125</v>
      </c>
      <c r="L149" s="8">
        <f t="shared" si="10"/>
        <v>0.14323430913945176</v>
      </c>
      <c r="M149" s="13">
        <v>382.6143798828125</v>
      </c>
      <c r="N149" s="8">
        <f t="shared" si="11"/>
        <v>8.4200566400715576E-2</v>
      </c>
    </row>
    <row r="150" spans="1:14" x14ac:dyDescent="0.25">
      <c r="A150" s="17" t="s">
        <v>21</v>
      </c>
      <c r="B150" s="2">
        <v>41425</v>
      </c>
      <c r="C150" s="3">
        <v>199.04</v>
      </c>
      <c r="D150" s="3">
        <v>216.44988416253489</v>
      </c>
      <c r="E150" s="3">
        <v>126.64769834272541</v>
      </c>
      <c r="F150" s="3">
        <v>306.49870640726022</v>
      </c>
      <c r="G150" t="s">
        <v>3</v>
      </c>
      <c r="H150" s="8">
        <f t="shared" si="8"/>
        <v>8.746927332463271E-2</v>
      </c>
      <c r="I150" s="13">
        <v>227.44377136230469</v>
      </c>
      <c r="J150" s="8">
        <f t="shared" si="9"/>
        <v>0.14270383522058228</v>
      </c>
      <c r="K150" s="13">
        <v>228.88337707519531</v>
      </c>
      <c r="L150" s="8">
        <f t="shared" si="10"/>
        <v>0.14993658096460671</v>
      </c>
      <c r="M150" s="13">
        <v>219.47630310058591</v>
      </c>
      <c r="N150" s="8">
        <f t="shared" si="11"/>
        <v>0.10267435239442282</v>
      </c>
    </row>
    <row r="151" spans="1:14" x14ac:dyDescent="0.25">
      <c r="A151" s="17" t="s">
        <v>21</v>
      </c>
      <c r="B151" s="2">
        <v>41455</v>
      </c>
      <c r="C151" s="3">
        <v>60.77</v>
      </c>
      <c r="D151" s="3">
        <v>135.95785317325809</v>
      </c>
      <c r="E151" s="3">
        <v>53.574927473396407</v>
      </c>
      <c r="F151" s="3">
        <v>229.86391348220391</v>
      </c>
      <c r="G151" t="s">
        <v>3</v>
      </c>
      <c r="H151" s="8">
        <f t="shared" si="8"/>
        <v>1.237252808511734</v>
      </c>
      <c r="I151" s="13">
        <v>136.412841796875</v>
      </c>
      <c r="J151" s="8">
        <f t="shared" si="9"/>
        <v>1.2447398683046731</v>
      </c>
      <c r="K151" s="13">
        <v>143.0160217285156</v>
      </c>
      <c r="L151" s="8">
        <f t="shared" si="10"/>
        <v>1.3533984158057526</v>
      </c>
      <c r="M151" s="13">
        <v>126.03639221191411</v>
      </c>
      <c r="N151" s="8">
        <f t="shared" si="11"/>
        <v>1.0739903276602618</v>
      </c>
    </row>
    <row r="152" spans="1:14" x14ac:dyDescent="0.25">
      <c r="A152" s="17" t="s">
        <v>21</v>
      </c>
      <c r="B152" s="2">
        <v>41486</v>
      </c>
      <c r="C152" s="3">
        <v>55.34</v>
      </c>
      <c r="D152" s="3">
        <v>79.066671728727897</v>
      </c>
      <c r="E152" s="3">
        <v>-10.070521785570021</v>
      </c>
      <c r="F152" s="3">
        <v>173.32526958423961</v>
      </c>
      <c r="G152" t="s">
        <v>3</v>
      </c>
      <c r="H152" s="8">
        <f t="shared" si="8"/>
        <v>0.42874361634853436</v>
      </c>
      <c r="I152" s="13">
        <v>97.8890380859375</v>
      </c>
      <c r="J152" s="8">
        <f t="shared" si="9"/>
        <v>0.76886588518137866</v>
      </c>
      <c r="K152" s="13">
        <v>94.318000793457031</v>
      </c>
      <c r="L152" s="8">
        <f t="shared" si="10"/>
        <v>0.70433684122618401</v>
      </c>
      <c r="M152" s="13">
        <v>91.217742919921875</v>
      </c>
      <c r="N152" s="8">
        <f t="shared" si="11"/>
        <v>0.64831483411495971</v>
      </c>
    </row>
    <row r="153" spans="1:14" x14ac:dyDescent="0.25">
      <c r="A153" s="17" t="s">
        <v>21</v>
      </c>
      <c r="B153" s="2">
        <v>41517</v>
      </c>
      <c r="C153" s="3">
        <v>60.07</v>
      </c>
      <c r="D153" s="3">
        <v>71.575019545452577</v>
      </c>
      <c r="E153" s="3">
        <v>-21.14864147705449</v>
      </c>
      <c r="F153" s="3">
        <v>159.17926471917261</v>
      </c>
      <c r="G153" t="s">
        <v>3</v>
      </c>
      <c r="H153" s="8">
        <f t="shared" si="8"/>
        <v>0.19152687773352051</v>
      </c>
      <c r="I153" s="13">
        <v>88.523345947265625</v>
      </c>
      <c r="J153" s="8">
        <f t="shared" si="9"/>
        <v>0.47366981766714872</v>
      </c>
      <c r="K153" s="13">
        <v>76.928962707519531</v>
      </c>
      <c r="L153" s="8">
        <f t="shared" si="10"/>
        <v>0.28065528063125572</v>
      </c>
      <c r="M153" s="13">
        <v>72.303443908691406</v>
      </c>
      <c r="N153" s="8">
        <f t="shared" si="11"/>
        <v>0.20365313648562353</v>
      </c>
    </row>
    <row r="154" spans="1:14" x14ac:dyDescent="0.25">
      <c r="A154" s="17" t="s">
        <v>21</v>
      </c>
      <c r="B154" s="2">
        <v>41547</v>
      </c>
      <c r="C154" s="3">
        <v>61.33</v>
      </c>
      <c r="D154" s="3">
        <v>84.448096973137552</v>
      </c>
      <c r="E154" s="3">
        <v>-12.240537279924119</v>
      </c>
      <c r="F154" s="3">
        <v>175.80826926863591</v>
      </c>
      <c r="G154" t="s">
        <v>3</v>
      </c>
      <c r="H154" s="8">
        <f t="shared" si="8"/>
        <v>0.37694598032182547</v>
      </c>
      <c r="I154" s="13">
        <v>85.984977722167969</v>
      </c>
      <c r="J154" s="8">
        <f t="shared" si="9"/>
        <v>0.40200518053428946</v>
      </c>
      <c r="K154" s="13">
        <v>91.227638244628906</v>
      </c>
      <c r="L154" s="8">
        <f t="shared" si="10"/>
        <v>0.48748798703128826</v>
      </c>
      <c r="M154" s="13">
        <v>73.425338745117188</v>
      </c>
      <c r="N154" s="8">
        <f t="shared" si="11"/>
        <v>0.19721732830779698</v>
      </c>
    </row>
    <row r="155" spans="1:14" x14ac:dyDescent="0.25">
      <c r="A155" s="17" t="s">
        <v>21</v>
      </c>
      <c r="B155" s="2">
        <v>41578</v>
      </c>
      <c r="C155" s="3">
        <v>59.36</v>
      </c>
      <c r="D155" s="3">
        <v>78.742513664162189</v>
      </c>
      <c r="E155" s="3">
        <v>-10.426253110630411</v>
      </c>
      <c r="F155" s="3">
        <v>166.37209134818411</v>
      </c>
      <c r="G155" t="s">
        <v>3</v>
      </c>
      <c r="H155" s="8">
        <f t="shared" si="8"/>
        <v>0.3265248258787431</v>
      </c>
      <c r="I155" s="13">
        <v>71.727790832519531</v>
      </c>
      <c r="J155" s="8">
        <f t="shared" si="9"/>
        <v>0.20835227143732366</v>
      </c>
      <c r="K155" s="13">
        <v>84.6375732421875</v>
      </c>
      <c r="L155" s="8">
        <f t="shared" si="10"/>
        <v>0.42583512874305091</v>
      </c>
      <c r="M155" s="13">
        <v>68.3797607421875</v>
      </c>
      <c r="N155" s="8">
        <f t="shared" si="11"/>
        <v>0.15195014727404818</v>
      </c>
    </row>
    <row r="156" spans="1:14" x14ac:dyDescent="0.25">
      <c r="A156" s="17" t="s">
        <v>21</v>
      </c>
      <c r="B156" s="2">
        <v>41608</v>
      </c>
      <c r="C156" s="3">
        <v>43.97</v>
      </c>
      <c r="D156" s="3">
        <v>45.852707339664143</v>
      </c>
      <c r="E156" s="3">
        <v>-46.877139729243858</v>
      </c>
      <c r="F156" s="3">
        <v>133.28287850769351</v>
      </c>
      <c r="G156" t="s">
        <v>3</v>
      </c>
      <c r="H156" s="8">
        <f t="shared" si="8"/>
        <v>4.28179972632282E-2</v>
      </c>
      <c r="I156" s="13">
        <v>54.830028533935547</v>
      </c>
      <c r="J156" s="8">
        <f t="shared" si="9"/>
        <v>0.24698723070128606</v>
      </c>
      <c r="K156" s="13">
        <v>57.822353363037109</v>
      </c>
      <c r="L156" s="8">
        <f t="shared" si="10"/>
        <v>0.31504101348731206</v>
      </c>
      <c r="M156" s="13">
        <v>49.851978302001953</v>
      </c>
      <c r="N156" s="8">
        <f t="shared" si="11"/>
        <v>0.13377253359112928</v>
      </c>
    </row>
    <row r="157" spans="1:14" x14ac:dyDescent="0.25">
      <c r="A157" s="17" t="s">
        <v>21</v>
      </c>
      <c r="B157" s="2">
        <v>41639</v>
      </c>
      <c r="C157" s="3">
        <v>44.73</v>
      </c>
      <c r="D157" s="3">
        <v>88.902491896130925</v>
      </c>
      <c r="E157" s="3">
        <v>-2.1326944449274579</v>
      </c>
      <c r="F157" s="3">
        <v>178.67761021181951</v>
      </c>
      <c r="G157" t="s">
        <v>3</v>
      </c>
      <c r="H157" s="8">
        <f t="shared" si="8"/>
        <v>0.98753614791260746</v>
      </c>
      <c r="I157" s="13">
        <v>72.304161071777344</v>
      </c>
      <c r="J157" s="8">
        <f t="shared" si="9"/>
        <v>0.61645788222171582</v>
      </c>
      <c r="K157" s="13">
        <v>71.891227722167969</v>
      </c>
      <c r="L157" s="8">
        <f t="shared" si="10"/>
        <v>0.60722619544305778</v>
      </c>
      <c r="M157" s="13">
        <v>78.31121826171875</v>
      </c>
      <c r="N157" s="8">
        <f t="shared" si="11"/>
        <v>0.7507538176105244</v>
      </c>
    </row>
    <row r="158" spans="1:14" x14ac:dyDescent="0.25">
      <c r="A158" s="17" t="s">
        <v>21</v>
      </c>
      <c r="B158" s="2">
        <v>41670</v>
      </c>
      <c r="C158" s="3">
        <v>345.91</v>
      </c>
      <c r="D158" s="3">
        <v>282.18398611081108</v>
      </c>
      <c r="E158" s="3">
        <v>188.0562670258648</v>
      </c>
      <c r="F158" s="3">
        <v>367.16789962999439</v>
      </c>
      <c r="G158" t="s">
        <v>3</v>
      </c>
      <c r="H158" s="8">
        <f t="shared" si="8"/>
        <v>0.18422715125087144</v>
      </c>
      <c r="I158" s="13">
        <v>220.7766418457031</v>
      </c>
      <c r="J158" s="8">
        <f t="shared" si="9"/>
        <v>0.36175120162555846</v>
      </c>
      <c r="K158" s="13">
        <v>220.83351135253909</v>
      </c>
      <c r="L158" s="8">
        <f t="shared" si="10"/>
        <v>0.36158679612460154</v>
      </c>
      <c r="M158" s="13">
        <v>287.8717041015625</v>
      </c>
      <c r="N158" s="8">
        <f t="shared" si="11"/>
        <v>0.16778438292745951</v>
      </c>
    </row>
    <row r="159" spans="1:14" x14ac:dyDescent="0.25">
      <c r="A159" s="17" t="s">
        <v>21</v>
      </c>
      <c r="B159" s="2">
        <v>41698</v>
      </c>
      <c r="C159" s="3">
        <v>212.38</v>
      </c>
      <c r="D159" s="3">
        <v>200.1325046528425</v>
      </c>
      <c r="E159" s="3">
        <v>116.34153702856339</v>
      </c>
      <c r="F159" s="3">
        <v>291.12257360183941</v>
      </c>
      <c r="G159" t="s">
        <v>3</v>
      </c>
      <c r="H159" s="8">
        <f t="shared" si="8"/>
        <v>5.766783758902673E-2</v>
      </c>
      <c r="I159" s="13">
        <v>368.87985229492188</v>
      </c>
      <c r="J159" s="8">
        <f t="shared" si="9"/>
        <v>0.73688601702100898</v>
      </c>
      <c r="K159" s="13">
        <v>398.41226196289063</v>
      </c>
      <c r="L159" s="8">
        <f t="shared" si="10"/>
        <v>0.8759405874512225</v>
      </c>
      <c r="M159" s="13">
        <v>272.33682250976563</v>
      </c>
      <c r="N159" s="8">
        <f t="shared" si="11"/>
        <v>0.28230917463869304</v>
      </c>
    </row>
    <row r="160" spans="1:14" x14ac:dyDescent="0.25">
      <c r="A160" s="17" t="s">
        <v>21</v>
      </c>
      <c r="B160" s="2">
        <v>41729</v>
      </c>
      <c r="C160" s="3">
        <v>280.44</v>
      </c>
      <c r="D160" s="3">
        <v>403.84728977402449</v>
      </c>
      <c r="E160" s="3">
        <v>319.72797316316638</v>
      </c>
      <c r="F160" s="3">
        <v>499.17677019143861</v>
      </c>
      <c r="G160" t="s">
        <v>3</v>
      </c>
      <c r="H160" s="8">
        <f t="shared" si="8"/>
        <v>0.44004881534026707</v>
      </c>
      <c r="I160" s="13">
        <v>339.2767333984375</v>
      </c>
      <c r="J160" s="8">
        <f t="shared" si="9"/>
        <v>0.20980150263313901</v>
      </c>
      <c r="K160" s="13">
        <v>372.3028564453125</v>
      </c>
      <c r="L160" s="8">
        <f t="shared" si="10"/>
        <v>0.32756688220408109</v>
      </c>
      <c r="M160" s="13">
        <v>305.06561279296881</v>
      </c>
      <c r="N160" s="8">
        <f t="shared" si="11"/>
        <v>8.7810628986481273E-2</v>
      </c>
    </row>
    <row r="161" spans="1:14" x14ac:dyDescent="0.25">
      <c r="A161" s="17" t="s">
        <v>21</v>
      </c>
      <c r="B161" s="2">
        <v>41759</v>
      </c>
      <c r="C161" s="3">
        <v>355.67</v>
      </c>
      <c r="D161" s="3">
        <v>386.67406487373029</v>
      </c>
      <c r="E161" s="3">
        <v>301.9446716006604</v>
      </c>
      <c r="F161" s="3">
        <v>483.03019497663178</v>
      </c>
      <c r="G161" t="s">
        <v>3</v>
      </c>
      <c r="H161" s="8">
        <f t="shared" si="8"/>
        <v>8.7170874332190715E-2</v>
      </c>
      <c r="I161" s="13">
        <v>245.22398376464841</v>
      </c>
      <c r="J161" s="8">
        <f t="shared" si="9"/>
        <v>0.3105294689890955</v>
      </c>
      <c r="K161" s="13">
        <v>283.07122802734381</v>
      </c>
      <c r="L161" s="8">
        <f t="shared" si="10"/>
        <v>0.20411834558061182</v>
      </c>
      <c r="M161" s="13">
        <v>288.06597900390619</v>
      </c>
      <c r="N161" s="8">
        <f t="shared" si="11"/>
        <v>0.19007512861948947</v>
      </c>
    </row>
    <row r="162" spans="1:14" x14ac:dyDescent="0.25">
      <c r="A162" s="17" t="s">
        <v>21</v>
      </c>
      <c r="B162" s="2">
        <v>41790</v>
      </c>
      <c r="C162" s="3">
        <v>370.42</v>
      </c>
      <c r="D162" s="3">
        <v>247.87824367132771</v>
      </c>
      <c r="E162" s="3">
        <v>159.19598655085969</v>
      </c>
      <c r="F162" s="3">
        <v>335.98995991147439</v>
      </c>
      <c r="G162" t="s">
        <v>3</v>
      </c>
      <c r="H162" s="8">
        <f t="shared" si="8"/>
        <v>0.33081841242015092</v>
      </c>
      <c r="I162" s="13">
        <v>177.66554260253909</v>
      </c>
      <c r="J162" s="8">
        <f t="shared" si="9"/>
        <v>0.52036730575417345</v>
      </c>
      <c r="K162" s="13">
        <v>196.0407409667969</v>
      </c>
      <c r="L162" s="8">
        <f t="shared" si="10"/>
        <v>0.47076091742671322</v>
      </c>
      <c r="M162" s="13">
        <v>200.38970947265619</v>
      </c>
      <c r="N162" s="8">
        <f t="shared" si="11"/>
        <v>0.45902027570688358</v>
      </c>
    </row>
    <row r="163" spans="1:14" x14ac:dyDescent="0.25">
      <c r="A163" s="17" t="s">
        <v>21</v>
      </c>
      <c r="B163" s="2">
        <v>41820</v>
      </c>
      <c r="C163" s="3">
        <v>154.82</v>
      </c>
      <c r="D163" s="3">
        <v>153.8939055551327</v>
      </c>
      <c r="E163" s="3">
        <v>69.933176710912903</v>
      </c>
      <c r="F163" s="3">
        <v>238.32480568935421</v>
      </c>
      <c r="G163" t="s">
        <v>3</v>
      </c>
      <c r="H163" s="8">
        <f t="shared" si="8"/>
        <v>5.9817494178225602E-3</v>
      </c>
      <c r="I163" s="13">
        <v>129.3303527832031</v>
      </c>
      <c r="J163" s="8">
        <f t="shared" si="9"/>
        <v>0.16464053233947099</v>
      </c>
      <c r="K163" s="13">
        <v>144.55451965332031</v>
      </c>
      <c r="L163" s="8">
        <f t="shared" si="10"/>
        <v>6.6305905869265477E-2</v>
      </c>
      <c r="M163" s="13">
        <v>138.84785461425781</v>
      </c>
      <c r="N163" s="8">
        <f t="shared" si="11"/>
        <v>0.10316590482975185</v>
      </c>
    </row>
    <row r="164" spans="1:14" x14ac:dyDescent="0.25">
      <c r="A164" s="17" t="s">
        <v>21</v>
      </c>
      <c r="B164" s="2">
        <v>41851</v>
      </c>
      <c r="C164" s="3">
        <v>107.65</v>
      </c>
      <c r="D164" s="3">
        <v>136.32846661329211</v>
      </c>
      <c r="E164" s="3">
        <v>45.38178060015796</v>
      </c>
      <c r="F164" s="3">
        <v>220.52064335973191</v>
      </c>
      <c r="G164" t="s">
        <v>3</v>
      </c>
      <c r="H164" s="8">
        <f t="shared" si="8"/>
        <v>0.26640470611511474</v>
      </c>
      <c r="I164" s="13">
        <v>101.2269973754883</v>
      </c>
      <c r="J164" s="8">
        <f t="shared" si="9"/>
        <v>5.966560728761458E-2</v>
      </c>
      <c r="K164" s="13">
        <v>98.250236511230469</v>
      </c>
      <c r="L164" s="8">
        <f t="shared" si="10"/>
        <v>8.7317821539893509E-2</v>
      </c>
      <c r="M164" s="13">
        <v>107.5786209106445</v>
      </c>
      <c r="N164" s="8">
        <f t="shared" si="11"/>
        <v>6.6306632006969668E-4</v>
      </c>
    </row>
    <row r="165" spans="1:14" x14ac:dyDescent="0.25">
      <c r="A165" s="17" t="s">
        <v>21</v>
      </c>
      <c r="B165" s="2">
        <v>41882</v>
      </c>
      <c r="C165" s="3">
        <v>155.5</v>
      </c>
      <c r="D165" s="3">
        <v>105.8953415144686</v>
      </c>
      <c r="E165" s="3">
        <v>16.16849648597773</v>
      </c>
      <c r="F165" s="3">
        <v>189.94754635479569</v>
      </c>
      <c r="G165" t="s">
        <v>3</v>
      </c>
      <c r="H165" s="8">
        <f t="shared" si="8"/>
        <v>0.31900101919955887</v>
      </c>
      <c r="I165" s="13">
        <v>92.211395263671875</v>
      </c>
      <c r="J165" s="8">
        <f t="shared" si="9"/>
        <v>0.4070006735455185</v>
      </c>
      <c r="K165" s="13">
        <v>81.988059997558594</v>
      </c>
      <c r="L165" s="8">
        <f t="shared" si="10"/>
        <v>0.47274559487100581</v>
      </c>
      <c r="M165" s="13">
        <v>90.878105163574219</v>
      </c>
      <c r="N165" s="8">
        <f t="shared" si="11"/>
        <v>0.41557488640788282</v>
      </c>
    </row>
    <row r="166" spans="1:14" x14ac:dyDescent="0.25">
      <c r="A166" s="17" t="s">
        <v>21</v>
      </c>
      <c r="B166" s="2">
        <v>41912</v>
      </c>
      <c r="C166" s="3">
        <v>110.87</v>
      </c>
      <c r="D166" s="3">
        <v>116.84685866760221</v>
      </c>
      <c r="E166" s="3">
        <v>18.464601406396881</v>
      </c>
      <c r="F166" s="3">
        <v>212.81570493908461</v>
      </c>
      <c r="G166" t="s">
        <v>3</v>
      </c>
      <c r="H166" s="8">
        <f t="shared" si="8"/>
        <v>5.3908709908922166E-2</v>
      </c>
      <c r="I166" s="13">
        <v>90.2613525390625</v>
      </c>
      <c r="J166" s="8">
        <f t="shared" si="9"/>
        <v>0.18588118932928208</v>
      </c>
      <c r="K166" s="13">
        <v>95.571533203125</v>
      </c>
      <c r="L166" s="8">
        <f t="shared" si="10"/>
        <v>0.13798562998895106</v>
      </c>
      <c r="M166" s="13">
        <v>92.257431030273438</v>
      </c>
      <c r="N166" s="8">
        <f t="shared" si="11"/>
        <v>0.16787741471747603</v>
      </c>
    </row>
    <row r="167" spans="1:14" x14ac:dyDescent="0.25">
      <c r="A167" s="17" t="s">
        <v>21</v>
      </c>
      <c r="B167" s="2">
        <v>41943</v>
      </c>
      <c r="C167" s="3">
        <v>140.80000000000001</v>
      </c>
      <c r="D167" s="3">
        <v>107.43684560275069</v>
      </c>
      <c r="E167" s="3">
        <v>10.783382302475079</v>
      </c>
      <c r="F167" s="3">
        <v>192.6405330099393</v>
      </c>
      <c r="G167" t="s">
        <v>3</v>
      </c>
      <c r="H167" s="8">
        <f t="shared" si="8"/>
        <v>0.23695422157137297</v>
      </c>
      <c r="I167" s="13">
        <v>74.92144775390625</v>
      </c>
      <c r="J167" s="8">
        <f t="shared" si="9"/>
        <v>0.46788744492964318</v>
      </c>
      <c r="K167" s="13">
        <v>89.777862548828125</v>
      </c>
      <c r="L167" s="8">
        <f t="shared" si="10"/>
        <v>0.36237313530661847</v>
      </c>
      <c r="M167" s="13">
        <v>96.937568664550781</v>
      </c>
      <c r="N167" s="8">
        <f t="shared" si="11"/>
        <v>0.31152294982563372</v>
      </c>
    </row>
    <row r="168" spans="1:14" x14ac:dyDescent="0.25">
      <c r="A168" s="17" t="s">
        <v>21</v>
      </c>
      <c r="B168" s="2">
        <v>41973</v>
      </c>
      <c r="C168" s="3">
        <v>17.57</v>
      </c>
      <c r="D168" s="3">
        <v>100.1673864805481</v>
      </c>
      <c r="E168" s="3">
        <v>7.1985260994891469</v>
      </c>
      <c r="F168" s="3">
        <v>183.52405562431841</v>
      </c>
      <c r="G168" t="s">
        <v>3</v>
      </c>
      <c r="H168" s="8">
        <f t="shared" si="8"/>
        <v>4.7010464701507164</v>
      </c>
      <c r="I168" s="13">
        <v>65.360511779785156</v>
      </c>
      <c r="J168" s="8">
        <f t="shared" si="9"/>
        <v>2.7200063619684207</v>
      </c>
      <c r="K168" s="13">
        <v>64.106788635253906</v>
      </c>
      <c r="L168" s="8">
        <f t="shared" si="10"/>
        <v>2.6486504630195733</v>
      </c>
      <c r="M168" s="13">
        <v>79.419296264648438</v>
      </c>
      <c r="N168" s="8">
        <f t="shared" si="11"/>
        <v>3.520164841471169</v>
      </c>
    </row>
    <row r="169" spans="1:14" x14ac:dyDescent="0.25">
      <c r="A169" s="17" t="s">
        <v>21</v>
      </c>
      <c r="B169" s="2">
        <v>42004</v>
      </c>
      <c r="C169" s="3">
        <v>73.78</v>
      </c>
      <c r="D169" s="3">
        <v>138.9921574304233</v>
      </c>
      <c r="E169" s="3">
        <v>49.871502477495447</v>
      </c>
      <c r="F169" s="3">
        <v>228.3477645941035</v>
      </c>
      <c r="G169" t="s">
        <v>3</v>
      </c>
      <c r="H169" s="8">
        <f t="shared" si="8"/>
        <v>0.88387310152376397</v>
      </c>
      <c r="I169" s="13">
        <v>95.478538513183594</v>
      </c>
      <c r="J169" s="8">
        <f t="shared" si="9"/>
        <v>0.29409783834621295</v>
      </c>
      <c r="K169" s="13">
        <v>94.206954956054688</v>
      </c>
      <c r="L169" s="8">
        <f t="shared" si="10"/>
        <v>0.2768630381682663</v>
      </c>
      <c r="M169" s="13">
        <v>84.563560485839844</v>
      </c>
      <c r="N169" s="8">
        <f t="shared" si="11"/>
        <v>0.14615831506966445</v>
      </c>
    </row>
    <row r="170" spans="1:14" x14ac:dyDescent="0.25">
      <c r="A170" s="17" t="s">
        <v>21</v>
      </c>
      <c r="B170" s="2">
        <v>42035</v>
      </c>
      <c r="C170" s="3">
        <v>243.43</v>
      </c>
      <c r="D170" s="3">
        <v>302.48703334059081</v>
      </c>
      <c r="E170" s="3">
        <v>213.73183056933809</v>
      </c>
      <c r="F170" s="3">
        <v>389.65861879061561</v>
      </c>
      <c r="G170" t="s">
        <v>3</v>
      </c>
      <c r="H170" s="8">
        <f t="shared" si="8"/>
        <v>0.24260376017989074</v>
      </c>
      <c r="I170" s="13">
        <v>270.39593505859381</v>
      </c>
      <c r="J170" s="8">
        <f t="shared" si="9"/>
        <v>0.11077490473069794</v>
      </c>
      <c r="K170" s="13">
        <v>263.4505615234375</v>
      </c>
      <c r="L170" s="8">
        <f t="shared" si="10"/>
        <v>8.2243608115012495E-2</v>
      </c>
      <c r="M170" s="13">
        <v>253.3848876953125</v>
      </c>
      <c r="N170" s="8">
        <f t="shared" si="11"/>
        <v>4.0894251716355801E-2</v>
      </c>
    </row>
    <row r="171" spans="1:14" x14ac:dyDescent="0.25">
      <c r="A171" s="17" t="s">
        <v>21</v>
      </c>
      <c r="B171" s="2">
        <v>42063</v>
      </c>
      <c r="C171" s="3">
        <v>219.02</v>
      </c>
      <c r="D171" s="3">
        <v>215.72195318701159</v>
      </c>
      <c r="E171" s="3">
        <v>119.5153160585193</v>
      </c>
      <c r="F171" s="3">
        <v>310.40506668762652</v>
      </c>
      <c r="G171" t="s">
        <v>3</v>
      </c>
      <c r="H171" s="8">
        <f t="shared" si="8"/>
        <v>1.505819931051236E-2</v>
      </c>
      <c r="I171" s="13">
        <v>388.69207763671881</v>
      </c>
      <c r="J171" s="8">
        <f t="shared" si="9"/>
        <v>0.77468759764733264</v>
      </c>
      <c r="K171" s="13">
        <v>400.01495361328119</v>
      </c>
      <c r="L171" s="8">
        <f t="shared" si="10"/>
        <v>0.82638550640709152</v>
      </c>
      <c r="M171" s="13">
        <v>351.6898193359375</v>
      </c>
      <c r="N171" s="8">
        <f t="shared" si="11"/>
        <v>0.60574294281772201</v>
      </c>
    </row>
    <row r="172" spans="1:14" x14ac:dyDescent="0.25">
      <c r="A172" s="17" t="s">
        <v>21</v>
      </c>
      <c r="B172" s="2">
        <v>42094</v>
      </c>
      <c r="C172" s="3">
        <v>431.03</v>
      </c>
      <c r="D172" s="3">
        <v>434.61070968290778</v>
      </c>
      <c r="E172" s="3">
        <v>345.34657097346519</v>
      </c>
      <c r="F172" s="3">
        <v>518.90770575709848</v>
      </c>
      <c r="G172" t="s">
        <v>3</v>
      </c>
      <c r="H172" s="8">
        <f t="shared" si="8"/>
        <v>8.3073328606078686E-3</v>
      </c>
      <c r="I172" s="13">
        <v>367.24307250976563</v>
      </c>
      <c r="J172" s="8">
        <f t="shared" si="9"/>
        <v>0.14798721084433647</v>
      </c>
      <c r="K172" s="13">
        <v>390.32647705078119</v>
      </c>
      <c r="L172" s="8">
        <f t="shared" si="10"/>
        <v>9.4433155347003181E-2</v>
      </c>
      <c r="M172" s="13">
        <v>422.6722412109375</v>
      </c>
      <c r="N172" s="8">
        <f t="shared" si="11"/>
        <v>1.9390202048726244E-2</v>
      </c>
    </row>
    <row r="173" spans="1:14" x14ac:dyDescent="0.25">
      <c r="A173" s="17" t="s">
        <v>21</v>
      </c>
      <c r="B173" s="2">
        <v>42124</v>
      </c>
      <c r="C173" s="3">
        <v>628.39</v>
      </c>
      <c r="D173" s="3">
        <v>664.83569982256699</v>
      </c>
      <c r="E173" s="3">
        <v>570.68146931942806</v>
      </c>
      <c r="F173" s="3">
        <v>752.4420111587591</v>
      </c>
      <c r="G173" t="s">
        <v>3</v>
      </c>
      <c r="H173" s="8">
        <f t="shared" si="8"/>
        <v>5.7998535658694457E-2</v>
      </c>
      <c r="I173" s="13">
        <v>341.15338134765619</v>
      </c>
      <c r="J173" s="8">
        <f t="shared" si="9"/>
        <v>0.45709928333096295</v>
      </c>
      <c r="K173" s="13">
        <v>367.00875854492188</v>
      </c>
      <c r="L173" s="8">
        <f t="shared" si="10"/>
        <v>0.41595385263145201</v>
      </c>
      <c r="M173" s="13">
        <v>513.12579345703125</v>
      </c>
      <c r="N173" s="8">
        <f t="shared" si="11"/>
        <v>0.18342781798400473</v>
      </c>
    </row>
    <row r="174" spans="1:14" x14ac:dyDescent="0.25">
      <c r="A174" s="17" t="s">
        <v>21</v>
      </c>
      <c r="B174" s="2">
        <v>42155</v>
      </c>
      <c r="C174" s="3">
        <v>530.54999999999995</v>
      </c>
      <c r="D174" s="3">
        <v>306.42182882991392</v>
      </c>
      <c r="E174" s="3">
        <v>214.28518842468901</v>
      </c>
      <c r="F174" s="3">
        <v>395.33640251067237</v>
      </c>
      <c r="G174" t="s">
        <v>3</v>
      </c>
      <c r="H174" s="8">
        <f t="shared" si="8"/>
        <v>0.42244495555571776</v>
      </c>
      <c r="I174" s="13">
        <v>304.49435424804688</v>
      </c>
      <c r="J174" s="8">
        <f t="shared" si="9"/>
        <v>0.42607792998200567</v>
      </c>
      <c r="K174" s="13">
        <v>327.0811767578125</v>
      </c>
      <c r="L174" s="8">
        <f t="shared" si="10"/>
        <v>0.38350546271263308</v>
      </c>
      <c r="M174" s="13">
        <v>414.39669799804688</v>
      </c>
      <c r="N174" s="8">
        <f t="shared" si="11"/>
        <v>0.21892998209773459</v>
      </c>
    </row>
    <row r="175" spans="1:14" x14ac:dyDescent="0.25">
      <c r="A175" s="17" t="s">
        <v>21</v>
      </c>
      <c r="B175" s="2">
        <v>42185</v>
      </c>
      <c r="C175" s="3">
        <v>257.93</v>
      </c>
      <c r="D175" s="3">
        <v>216.73330592720859</v>
      </c>
      <c r="E175" s="3">
        <v>132.02700571134079</v>
      </c>
      <c r="F175" s="3">
        <v>311.18274155355073</v>
      </c>
      <c r="G175" t="s">
        <v>3</v>
      </c>
      <c r="H175" s="8">
        <f t="shared" si="8"/>
        <v>0.15972044381340447</v>
      </c>
      <c r="I175" s="13">
        <v>224.9976501464844</v>
      </c>
      <c r="J175" s="8">
        <f t="shared" si="9"/>
        <v>0.12767940857409221</v>
      </c>
      <c r="K175" s="13">
        <v>218.84449768066409</v>
      </c>
      <c r="L175" s="8">
        <f t="shared" si="10"/>
        <v>0.15153530926738229</v>
      </c>
      <c r="M175" s="13">
        <v>241.02067565917969</v>
      </c>
      <c r="N175" s="8">
        <f t="shared" si="11"/>
        <v>6.5557803825922994E-2</v>
      </c>
    </row>
    <row r="176" spans="1:14" x14ac:dyDescent="0.25">
      <c r="A176" s="17" t="s">
        <v>21</v>
      </c>
      <c r="B176" s="2">
        <v>42216</v>
      </c>
      <c r="C176" s="3">
        <v>222.91</v>
      </c>
      <c r="D176" s="3">
        <v>159.32405953626611</v>
      </c>
      <c r="E176" s="3">
        <v>68.085774155517967</v>
      </c>
      <c r="F176" s="3">
        <v>254.1431226561364</v>
      </c>
      <c r="G176" t="s">
        <v>3</v>
      </c>
      <c r="H176" s="8">
        <f t="shared" si="8"/>
        <v>0.28525387135495894</v>
      </c>
      <c r="I176" s="13">
        <v>148.5470886230469</v>
      </c>
      <c r="J176" s="8">
        <f t="shared" si="9"/>
        <v>0.33360060731664393</v>
      </c>
      <c r="K176" s="13">
        <v>146.48869323730469</v>
      </c>
      <c r="L176" s="8">
        <f t="shared" si="10"/>
        <v>0.34283480670537575</v>
      </c>
      <c r="M176" s="13">
        <v>156.26741027832031</v>
      </c>
      <c r="N176" s="8">
        <f t="shared" si="11"/>
        <v>0.29896635288537832</v>
      </c>
    </row>
    <row r="177" spans="1:14" x14ac:dyDescent="0.25">
      <c r="A177" s="17" t="s">
        <v>21</v>
      </c>
      <c r="B177" s="2">
        <v>42247</v>
      </c>
      <c r="C177" s="3">
        <v>78.58</v>
      </c>
      <c r="D177" s="3">
        <v>92.602711803791777</v>
      </c>
      <c r="E177" s="3">
        <v>0.2220246996827</v>
      </c>
      <c r="F177" s="3">
        <v>180.46796570761171</v>
      </c>
      <c r="G177" t="s">
        <v>3</v>
      </c>
      <c r="H177" s="8">
        <f t="shared" si="8"/>
        <v>0.1784514100762507</v>
      </c>
      <c r="I177" s="13">
        <v>108.67397308349609</v>
      </c>
      <c r="J177" s="8">
        <f t="shared" si="9"/>
        <v>0.38297242407096077</v>
      </c>
      <c r="K177" s="13">
        <v>105.9718399047852</v>
      </c>
      <c r="L177" s="8">
        <f t="shared" si="10"/>
        <v>0.34858538947296008</v>
      </c>
      <c r="M177" s="13">
        <v>113.4179611206055</v>
      </c>
      <c r="N177" s="8">
        <f t="shared" si="11"/>
        <v>0.44334386765850725</v>
      </c>
    </row>
    <row r="178" spans="1:14" x14ac:dyDescent="0.25">
      <c r="A178" s="17" t="s">
        <v>21</v>
      </c>
      <c r="B178" s="2">
        <v>42277</v>
      </c>
      <c r="C178" s="3">
        <v>70.760000000000005</v>
      </c>
      <c r="D178" s="3">
        <v>125.8378536955895</v>
      </c>
      <c r="E178" s="3">
        <v>37.591815347854293</v>
      </c>
      <c r="F178" s="3">
        <v>219.36038434762469</v>
      </c>
      <c r="G178" t="s">
        <v>3</v>
      </c>
      <c r="H178" s="8">
        <f t="shared" si="8"/>
        <v>0.77837554685683286</v>
      </c>
      <c r="I178" s="13">
        <v>96.86749267578125</v>
      </c>
      <c r="J178" s="8">
        <f t="shared" si="9"/>
        <v>0.3689583475944212</v>
      </c>
      <c r="K178" s="13">
        <v>91.372093200683594</v>
      </c>
      <c r="L178" s="8">
        <f t="shared" si="10"/>
        <v>0.29129583381406993</v>
      </c>
      <c r="M178" s="13">
        <v>94.764427185058594</v>
      </c>
      <c r="N178" s="8">
        <f t="shared" si="11"/>
        <v>0.33923724116815412</v>
      </c>
    </row>
    <row r="179" spans="1:14" x14ac:dyDescent="0.25">
      <c r="A179" s="17" t="s">
        <v>21</v>
      </c>
      <c r="B179" s="2">
        <v>42308</v>
      </c>
      <c r="C179" s="3">
        <v>176.81</v>
      </c>
      <c r="D179" s="3">
        <v>142.13972758946639</v>
      </c>
      <c r="E179" s="3">
        <v>47.585289605401307</v>
      </c>
      <c r="F179" s="3">
        <v>229.95191262265101</v>
      </c>
      <c r="G179" t="s">
        <v>3</v>
      </c>
      <c r="H179" s="8">
        <f t="shared" si="8"/>
        <v>0.19608773491620166</v>
      </c>
      <c r="I179" s="13">
        <v>95.828514099121094</v>
      </c>
      <c r="J179" s="8">
        <f t="shared" si="9"/>
        <v>0.45801417284587359</v>
      </c>
      <c r="K179" s="13">
        <v>105.8171463012695</v>
      </c>
      <c r="L179" s="8">
        <f t="shared" si="10"/>
        <v>0.40152057971116167</v>
      </c>
      <c r="M179" s="13">
        <v>95.103477478027344</v>
      </c>
      <c r="N179" s="8">
        <f t="shared" si="11"/>
        <v>0.46211482677434906</v>
      </c>
    </row>
    <row r="180" spans="1:14" x14ac:dyDescent="0.25">
      <c r="A180" s="17" t="s">
        <v>21</v>
      </c>
      <c r="B180" s="2">
        <v>42338</v>
      </c>
      <c r="C180" s="3">
        <v>96.289999999999992</v>
      </c>
      <c r="D180" s="3">
        <v>107.47646874623869</v>
      </c>
      <c r="E180" s="3">
        <v>12.96159906168363</v>
      </c>
      <c r="F180" s="3">
        <v>195.64827966983239</v>
      </c>
      <c r="G180" t="s">
        <v>3</v>
      </c>
      <c r="H180" s="8">
        <f t="shared" si="8"/>
        <v>0.11617477148446052</v>
      </c>
      <c r="I180" s="13">
        <v>91.635108947753906</v>
      </c>
      <c r="J180" s="8">
        <f t="shared" si="9"/>
        <v>4.8342414085014912E-2</v>
      </c>
      <c r="K180" s="13">
        <v>103.49444580078119</v>
      </c>
      <c r="L180" s="8">
        <f t="shared" si="10"/>
        <v>7.4820290796356853E-2</v>
      </c>
      <c r="M180" s="13">
        <v>88.258811950683594</v>
      </c>
      <c r="N180" s="8">
        <f t="shared" si="11"/>
        <v>8.3406252459408026E-2</v>
      </c>
    </row>
    <row r="181" spans="1:14" x14ac:dyDescent="0.25">
      <c r="A181" s="17" t="s">
        <v>21</v>
      </c>
      <c r="B181" s="2">
        <v>42369</v>
      </c>
      <c r="C181" s="3">
        <v>267.24</v>
      </c>
      <c r="D181" s="3">
        <v>215.20638949750449</v>
      </c>
      <c r="E181" s="3">
        <v>124.5488120977294</v>
      </c>
      <c r="F181" s="3">
        <v>304.8844130987016</v>
      </c>
      <c r="G181" t="s">
        <v>3</v>
      </c>
      <c r="H181" s="8">
        <f t="shared" si="8"/>
        <v>0.19470741843472353</v>
      </c>
      <c r="I181" s="13">
        <v>187.31172180175781</v>
      </c>
      <c r="J181" s="8">
        <f t="shared" si="9"/>
        <v>0.29908800403473357</v>
      </c>
      <c r="K181" s="13">
        <v>158.70372009277341</v>
      </c>
      <c r="L181" s="8">
        <f t="shared" si="10"/>
        <v>0.40613785326757446</v>
      </c>
      <c r="M181" s="13">
        <v>123.2577667236328</v>
      </c>
      <c r="N181" s="8">
        <f t="shared" si="11"/>
        <v>0.53877500851806315</v>
      </c>
    </row>
    <row r="182" spans="1:14" x14ac:dyDescent="0.25">
      <c r="A182" s="17" t="s">
        <v>21</v>
      </c>
      <c r="B182" s="2">
        <v>42400</v>
      </c>
      <c r="C182" s="3">
        <v>342.96</v>
      </c>
      <c r="D182" s="3">
        <v>330.79915714856628</v>
      </c>
      <c r="E182" s="3">
        <v>241.71686390647511</v>
      </c>
      <c r="F182" s="3">
        <v>421.82630868452651</v>
      </c>
      <c r="G182" t="s">
        <v>3</v>
      </c>
      <c r="H182" s="8">
        <f t="shared" ref="H182:H245" si="12">IFERROR(ABS((C182-D182)/C182),0)</f>
        <v>3.5458487437117159E-2</v>
      </c>
      <c r="I182" s="13">
        <v>374.69671630859381</v>
      </c>
      <c r="J182" s="8">
        <f t="shared" si="9"/>
        <v>9.2537661268351501E-2</v>
      </c>
      <c r="K182" s="13">
        <v>347.61166381835938</v>
      </c>
      <c r="L182" s="8">
        <f t="shared" si="10"/>
        <v>1.3563283818402716E-2</v>
      </c>
      <c r="M182" s="13">
        <v>324.156005859375</v>
      </c>
      <c r="N182" s="8">
        <f t="shared" si="11"/>
        <v>5.4828534349851236E-2</v>
      </c>
    </row>
    <row r="183" spans="1:14" x14ac:dyDescent="0.25">
      <c r="A183" s="17" t="s">
        <v>21</v>
      </c>
      <c r="B183" s="2">
        <v>42429</v>
      </c>
      <c r="C183" s="3">
        <v>508.48</v>
      </c>
      <c r="D183" s="3">
        <v>462.46669671106542</v>
      </c>
      <c r="E183" s="3">
        <v>373.51730140734622</v>
      </c>
      <c r="F183" s="3">
        <v>556.38641057316534</v>
      </c>
      <c r="G183" t="s">
        <v>3</v>
      </c>
      <c r="H183" s="8">
        <f t="shared" si="12"/>
        <v>9.0491864555016108E-2</v>
      </c>
      <c r="I183" s="13">
        <v>481.22958374023438</v>
      </c>
      <c r="J183" s="8">
        <f t="shared" si="9"/>
        <v>5.3591913663793352E-2</v>
      </c>
      <c r="K183" s="13">
        <v>464.88540649414063</v>
      </c>
      <c r="L183" s="8">
        <f t="shared" si="10"/>
        <v>8.5735119386916678E-2</v>
      </c>
      <c r="M183" s="13">
        <v>442.86526489257813</v>
      </c>
      <c r="N183" s="8">
        <f t="shared" si="11"/>
        <v>0.12904093594127969</v>
      </c>
    </row>
    <row r="184" spans="1:14" x14ac:dyDescent="0.25">
      <c r="A184" s="17" t="s">
        <v>21</v>
      </c>
      <c r="B184" s="2">
        <v>42460</v>
      </c>
      <c r="C184" s="3">
        <v>464.81</v>
      </c>
      <c r="D184" s="3">
        <v>508.94034633512882</v>
      </c>
      <c r="E184" s="3">
        <v>420.24510573500339</v>
      </c>
      <c r="F184" s="3">
        <v>599.23327945168626</v>
      </c>
      <c r="G184" t="s">
        <v>3</v>
      </c>
      <c r="H184" s="8">
        <f t="shared" si="12"/>
        <v>9.4942764430904714E-2</v>
      </c>
      <c r="I184" s="13">
        <v>535.749267578125</v>
      </c>
      <c r="J184" s="8">
        <f t="shared" si="9"/>
        <v>0.15261992551391967</v>
      </c>
      <c r="K184" s="13">
        <v>515.65521240234375</v>
      </c>
      <c r="L184" s="8">
        <f t="shared" si="10"/>
        <v>0.10938923947923614</v>
      </c>
      <c r="M184" s="13">
        <v>460.06570434570313</v>
      </c>
      <c r="N184" s="8">
        <f t="shared" si="11"/>
        <v>1.0206956937881881E-2</v>
      </c>
    </row>
    <row r="185" spans="1:14" x14ac:dyDescent="0.25">
      <c r="A185" s="17" t="s">
        <v>21</v>
      </c>
      <c r="B185" s="2">
        <v>42490</v>
      </c>
      <c r="C185" s="3">
        <v>434.35</v>
      </c>
      <c r="D185" s="3">
        <v>404.62762992325412</v>
      </c>
      <c r="E185" s="3">
        <v>314.15728642499238</v>
      </c>
      <c r="F185" s="3">
        <v>494.34792076852369</v>
      </c>
      <c r="G185" t="s">
        <v>3</v>
      </c>
      <c r="H185" s="8">
        <f t="shared" si="12"/>
        <v>6.8429538567390133E-2</v>
      </c>
      <c r="I185" s="13">
        <v>464.79092407226563</v>
      </c>
      <c r="J185" s="8">
        <f t="shared" si="9"/>
        <v>7.0083858805722571E-2</v>
      </c>
      <c r="K185" s="13">
        <v>431.59002685546881</v>
      </c>
      <c r="L185" s="8">
        <f t="shared" si="10"/>
        <v>6.3542607218400275E-3</v>
      </c>
      <c r="M185" s="13">
        <v>364.550048828125</v>
      </c>
      <c r="N185" s="8">
        <f t="shared" si="11"/>
        <v>0.16069978398037302</v>
      </c>
    </row>
    <row r="186" spans="1:14" x14ac:dyDescent="0.25">
      <c r="A186" s="17" t="s">
        <v>21</v>
      </c>
      <c r="B186" s="2">
        <v>42521</v>
      </c>
      <c r="C186" s="3">
        <v>145.31</v>
      </c>
      <c r="D186" s="3">
        <v>166.23726469459561</v>
      </c>
      <c r="E186" s="3">
        <v>166.23726469459561</v>
      </c>
      <c r="F186" s="3">
        <v>351.17428907145069</v>
      </c>
      <c r="G186" t="s">
        <v>3</v>
      </c>
      <c r="H186" s="8">
        <f t="shared" si="12"/>
        <v>0.14401806272517795</v>
      </c>
      <c r="I186" s="13">
        <v>310.04852294921881</v>
      </c>
      <c r="J186" s="8">
        <f t="shared" si="9"/>
        <v>1.1337039635896966</v>
      </c>
      <c r="K186" s="13">
        <v>304.73202514648438</v>
      </c>
      <c r="L186" s="8">
        <f t="shared" si="10"/>
        <v>1.0971166825853993</v>
      </c>
      <c r="M186" s="13">
        <v>229.0031433105469</v>
      </c>
      <c r="N186" s="8">
        <f t="shared" si="11"/>
        <v>0.57596272321620601</v>
      </c>
    </row>
    <row r="187" spans="1:14" x14ac:dyDescent="0.25">
      <c r="A187" s="17" t="s">
        <v>21</v>
      </c>
      <c r="B187" s="2">
        <v>42551</v>
      </c>
      <c r="C187" s="3">
        <v>93.7</v>
      </c>
      <c r="D187" s="3">
        <v>86.281896542746651</v>
      </c>
      <c r="E187" s="3">
        <v>86.281896542746651</v>
      </c>
      <c r="F187" s="3">
        <v>263.48110516936322</v>
      </c>
      <c r="G187" t="s">
        <v>3</v>
      </c>
      <c r="H187" s="8">
        <f t="shared" si="12"/>
        <v>7.9168660162789242E-2</v>
      </c>
      <c r="I187" s="13">
        <v>158.95550537109381</v>
      </c>
      <c r="J187" s="8">
        <f t="shared" si="9"/>
        <v>0.69643015337346637</v>
      </c>
      <c r="K187" s="13">
        <v>166.80120849609381</v>
      </c>
      <c r="L187" s="8">
        <f t="shared" si="10"/>
        <v>0.78016231052394669</v>
      </c>
      <c r="M187" s="13">
        <v>145.76824951171881</v>
      </c>
      <c r="N187" s="8">
        <f t="shared" si="11"/>
        <v>0.55569103000767128</v>
      </c>
    </row>
    <row r="188" spans="1:14" x14ac:dyDescent="0.25">
      <c r="A188" s="17" t="s">
        <v>21</v>
      </c>
      <c r="B188" s="2">
        <v>42582</v>
      </c>
      <c r="C188" s="3">
        <v>122.12</v>
      </c>
      <c r="D188" s="3">
        <v>151.9704396195111</v>
      </c>
      <c r="E188" s="3">
        <v>65.900852182047231</v>
      </c>
      <c r="F188" s="3">
        <v>241.99008996619449</v>
      </c>
      <c r="G188" t="s">
        <v>3</v>
      </c>
      <c r="H188" s="8">
        <f t="shared" si="12"/>
        <v>0.24443530641591132</v>
      </c>
      <c r="I188" s="13">
        <v>100.91318511962891</v>
      </c>
      <c r="J188" s="8">
        <f t="shared" si="9"/>
        <v>0.17365554274787992</v>
      </c>
      <c r="K188" s="13">
        <v>112.3363952636719</v>
      </c>
      <c r="L188" s="8">
        <f t="shared" si="10"/>
        <v>8.0114680120603507E-2</v>
      </c>
      <c r="M188" s="13">
        <v>97.447616577148438</v>
      </c>
      <c r="N188" s="8">
        <f t="shared" si="11"/>
        <v>0.2020339291094953</v>
      </c>
    </row>
    <row r="189" spans="1:14" x14ac:dyDescent="0.25">
      <c r="A189" s="17" t="s">
        <v>21</v>
      </c>
      <c r="B189" s="2">
        <v>42613</v>
      </c>
      <c r="C189" s="3">
        <v>55.65</v>
      </c>
      <c r="D189" s="3">
        <v>31.748159769353322</v>
      </c>
      <c r="E189" s="3">
        <v>31.748159769353322</v>
      </c>
      <c r="F189" s="3">
        <v>212.8260393332784</v>
      </c>
      <c r="G189" t="s">
        <v>3</v>
      </c>
      <c r="H189" s="8">
        <f t="shared" si="12"/>
        <v>0.42950296910416313</v>
      </c>
      <c r="I189" s="13">
        <v>87.541419982910156</v>
      </c>
      <c r="J189" s="8">
        <f t="shared" si="9"/>
        <v>0.57307133841707381</v>
      </c>
      <c r="K189" s="13">
        <v>83.486625671386719</v>
      </c>
      <c r="L189" s="8">
        <f t="shared" si="10"/>
        <v>0.50020890694315756</v>
      </c>
      <c r="M189" s="13">
        <v>88.643791198730469</v>
      </c>
      <c r="N189" s="8">
        <f t="shared" si="11"/>
        <v>0.59288034499066433</v>
      </c>
    </row>
    <row r="190" spans="1:14" x14ac:dyDescent="0.25">
      <c r="A190" s="17" t="s">
        <v>21</v>
      </c>
      <c r="B190" s="2">
        <v>42643</v>
      </c>
      <c r="C190" s="3">
        <v>149.86000000000001</v>
      </c>
      <c r="D190" s="3">
        <v>158.33756530740189</v>
      </c>
      <c r="E190" s="3">
        <v>64.510103478529587</v>
      </c>
      <c r="F190" s="3">
        <v>245.59073681705519</v>
      </c>
      <c r="G190" t="s">
        <v>3</v>
      </c>
      <c r="H190" s="8">
        <f t="shared" si="12"/>
        <v>5.6569900623260873E-2</v>
      </c>
      <c r="I190" s="13">
        <v>85.256118774414063</v>
      </c>
      <c r="J190" s="8">
        <f t="shared" si="9"/>
        <v>0.43109489674086443</v>
      </c>
      <c r="K190" s="13">
        <v>97.106056213378906</v>
      </c>
      <c r="L190" s="8">
        <f t="shared" si="10"/>
        <v>0.35202151198866344</v>
      </c>
      <c r="M190" s="13">
        <v>97.359634399414063</v>
      </c>
      <c r="N190" s="8">
        <f t="shared" si="11"/>
        <v>0.35032941145459728</v>
      </c>
    </row>
    <row r="191" spans="1:14" x14ac:dyDescent="0.25">
      <c r="A191" s="17" t="s">
        <v>21</v>
      </c>
      <c r="B191" s="2">
        <v>42674</v>
      </c>
      <c r="C191" s="3">
        <v>18.75</v>
      </c>
      <c r="D191" s="3">
        <v>31.860862606100699</v>
      </c>
      <c r="E191" s="3">
        <v>-6.6013929236437532</v>
      </c>
      <c r="F191" s="3">
        <v>169.86024105702211</v>
      </c>
      <c r="G191" t="s">
        <v>3</v>
      </c>
      <c r="H191" s="8">
        <f t="shared" si="12"/>
        <v>0.69924600565870398</v>
      </c>
      <c r="I191" s="13">
        <v>74.349288940429688</v>
      </c>
      <c r="J191" s="8">
        <f t="shared" si="9"/>
        <v>2.9652954101562501</v>
      </c>
      <c r="K191" s="13">
        <v>92.971343994140625</v>
      </c>
      <c r="L191" s="8">
        <f t="shared" si="10"/>
        <v>3.9584716796874999</v>
      </c>
      <c r="M191" s="13">
        <v>74.108833312988281</v>
      </c>
      <c r="N191" s="8">
        <f t="shared" si="11"/>
        <v>2.9524711100260417</v>
      </c>
    </row>
    <row r="192" spans="1:14" x14ac:dyDescent="0.25">
      <c r="A192" s="17" t="s">
        <v>21</v>
      </c>
      <c r="B192" s="2">
        <v>42704</v>
      </c>
      <c r="C192" s="3">
        <v>23.7</v>
      </c>
      <c r="D192" s="3">
        <v>37.952174025727501</v>
      </c>
      <c r="E192" s="3">
        <v>-18.393245572871621</v>
      </c>
      <c r="F192" s="3">
        <v>166.64409323312779</v>
      </c>
      <c r="G192" t="s">
        <v>3</v>
      </c>
      <c r="H192" s="8">
        <f t="shared" si="12"/>
        <v>0.60135755382816469</v>
      </c>
      <c r="I192" s="13">
        <v>60.013881683349609</v>
      </c>
      <c r="J192" s="8">
        <f t="shared" si="9"/>
        <v>1.5322312946561016</v>
      </c>
      <c r="K192" s="13">
        <v>69.671897888183594</v>
      </c>
      <c r="L192" s="8">
        <f t="shared" si="10"/>
        <v>1.9397425269275776</v>
      </c>
      <c r="M192" s="13">
        <v>63.577236175537109</v>
      </c>
      <c r="N192" s="8">
        <f t="shared" si="11"/>
        <v>1.6825838048749835</v>
      </c>
    </row>
    <row r="193" spans="1:14" x14ac:dyDescent="0.25">
      <c r="A193" s="17" t="s">
        <v>21</v>
      </c>
      <c r="B193" s="2">
        <v>42735</v>
      </c>
      <c r="C193" s="3">
        <v>79.989999999999995</v>
      </c>
      <c r="D193" s="3">
        <v>93.573942264563669</v>
      </c>
      <c r="E193" s="3">
        <v>8.3360476679947482</v>
      </c>
      <c r="F193" s="3">
        <v>185.0425779886682</v>
      </c>
      <c r="G193" t="s">
        <v>3</v>
      </c>
      <c r="H193" s="8">
        <f t="shared" si="12"/>
        <v>0.16982050587027972</v>
      </c>
      <c r="I193" s="13">
        <v>77.034034729003906</v>
      </c>
      <c r="J193" s="8">
        <f t="shared" si="9"/>
        <v>3.6954185160596183E-2</v>
      </c>
      <c r="K193" s="13">
        <v>81.032203674316406</v>
      </c>
      <c r="L193" s="8">
        <f t="shared" si="10"/>
        <v>1.3029174575777114E-2</v>
      </c>
      <c r="M193" s="13">
        <v>80.050857543945313</v>
      </c>
      <c r="N193" s="8">
        <f t="shared" si="11"/>
        <v>7.6081440111660983E-4</v>
      </c>
    </row>
    <row r="194" spans="1:14" x14ac:dyDescent="0.25">
      <c r="A194" s="17" t="s">
        <v>21</v>
      </c>
      <c r="B194" s="2">
        <v>42766</v>
      </c>
      <c r="C194" s="3">
        <v>383</v>
      </c>
      <c r="D194" s="3">
        <v>402.86422446343812</v>
      </c>
      <c r="E194" s="3">
        <v>226.33332428520879</v>
      </c>
      <c r="F194" s="3">
        <v>402.86422446343812</v>
      </c>
      <c r="G194" t="s">
        <v>3</v>
      </c>
      <c r="H194" s="8">
        <f t="shared" si="12"/>
        <v>5.186481583143112E-2</v>
      </c>
      <c r="I194" s="13">
        <v>229.443603515625</v>
      </c>
      <c r="J194" s="8">
        <f t="shared" ref="J194:J257" si="13">IFERROR(ABS((C194-I194)/C194),0)</f>
        <v>0.40093053912369453</v>
      </c>
      <c r="K194" s="13">
        <v>227.7447509765625</v>
      </c>
      <c r="L194" s="8">
        <f t="shared" si="10"/>
        <v>0.40536618543978459</v>
      </c>
      <c r="M194" s="13">
        <v>284.90585327148438</v>
      </c>
      <c r="N194" s="8">
        <f t="shared" si="11"/>
        <v>0.25612048754181627</v>
      </c>
    </row>
    <row r="195" spans="1:14" x14ac:dyDescent="0.25">
      <c r="A195" s="17" t="s">
        <v>21</v>
      </c>
      <c r="B195" s="2">
        <v>42794</v>
      </c>
      <c r="C195" s="3">
        <v>562.23</v>
      </c>
      <c r="D195" s="3">
        <v>527.79329725898378</v>
      </c>
      <c r="E195" s="3">
        <v>355.18790622789942</v>
      </c>
      <c r="F195" s="3">
        <v>527.79329725898378</v>
      </c>
      <c r="G195" t="s">
        <v>3</v>
      </c>
      <c r="H195" s="8">
        <f t="shared" si="12"/>
        <v>6.125020497130397E-2</v>
      </c>
      <c r="I195" s="13">
        <v>385.26193237304688</v>
      </c>
      <c r="J195" s="8">
        <f t="shared" si="13"/>
        <v>0.31476098327544444</v>
      </c>
      <c r="K195" s="13">
        <v>413.59600830078119</v>
      </c>
      <c r="L195" s="8">
        <f t="shared" ref="L195:L258" si="14">IFERROR(ABS((C195-K195)/C195),0)</f>
        <v>0.26436510271458091</v>
      </c>
      <c r="M195" s="13">
        <v>462.56976318359381</v>
      </c>
      <c r="N195" s="8">
        <f t="shared" ref="N195:N258" si="15">IFERROR(ABS((C195-M195)/C195),0)</f>
        <v>0.17725883858279745</v>
      </c>
    </row>
    <row r="196" spans="1:14" x14ac:dyDescent="0.25">
      <c r="A196" s="17" t="s">
        <v>21</v>
      </c>
      <c r="B196" s="2">
        <v>42825</v>
      </c>
      <c r="C196" s="3">
        <v>780.08</v>
      </c>
      <c r="D196" s="3">
        <v>761.57162006464807</v>
      </c>
      <c r="E196" s="3">
        <v>582.43261657732523</v>
      </c>
      <c r="F196" s="3">
        <v>761.57162006464807</v>
      </c>
      <c r="G196" t="s">
        <v>3</v>
      </c>
      <c r="H196" s="8">
        <f t="shared" si="12"/>
        <v>2.3726258762373047E-2</v>
      </c>
      <c r="I196" s="13">
        <v>467.24826049804688</v>
      </c>
      <c r="J196" s="8">
        <f t="shared" si="13"/>
        <v>0.40102520190487279</v>
      </c>
      <c r="K196" s="13">
        <v>512.74993896484375</v>
      </c>
      <c r="L196" s="8">
        <f t="shared" si="14"/>
        <v>0.34269569920412812</v>
      </c>
      <c r="M196" s="13">
        <v>632.3311767578125</v>
      </c>
      <c r="N196" s="8">
        <f t="shared" si="15"/>
        <v>0.18940214239845596</v>
      </c>
    </row>
    <row r="197" spans="1:14" x14ac:dyDescent="0.25">
      <c r="A197" s="17" t="s">
        <v>21</v>
      </c>
      <c r="B197" s="2">
        <v>42855</v>
      </c>
      <c r="C197" s="3">
        <v>542.4</v>
      </c>
      <c r="D197" s="3">
        <v>507.56216666855317</v>
      </c>
      <c r="E197" s="3">
        <v>329.56598346314598</v>
      </c>
      <c r="F197" s="3">
        <v>507.56216666855317</v>
      </c>
      <c r="G197" t="s">
        <v>3</v>
      </c>
      <c r="H197" s="8">
        <f t="shared" si="12"/>
        <v>6.4229043752667414E-2</v>
      </c>
      <c r="I197" s="13">
        <v>451.69598388671881</v>
      </c>
      <c r="J197" s="8">
        <f t="shared" si="13"/>
        <v>0.16722716835044465</v>
      </c>
      <c r="K197" s="13">
        <v>507.6082763671875</v>
      </c>
      <c r="L197" s="8">
        <f t="shared" si="14"/>
        <v>6.4144033246335691E-2</v>
      </c>
      <c r="M197" s="13">
        <v>490.70721435546881</v>
      </c>
      <c r="N197" s="8">
        <f t="shared" si="15"/>
        <v>9.5303808341687266E-2</v>
      </c>
    </row>
    <row r="198" spans="1:14" x14ac:dyDescent="0.25">
      <c r="A198" s="17" t="s">
        <v>21</v>
      </c>
      <c r="B198" s="2">
        <v>42886</v>
      </c>
      <c r="C198" s="3">
        <v>246.73</v>
      </c>
      <c r="D198" s="3">
        <v>250.09401856957729</v>
      </c>
      <c r="E198" s="3">
        <v>157.9910352566645</v>
      </c>
      <c r="F198" s="3">
        <v>339.17469651856283</v>
      </c>
      <c r="G198" t="s">
        <v>3</v>
      </c>
      <c r="H198" s="8">
        <f t="shared" si="12"/>
        <v>1.3634412392401804E-2</v>
      </c>
      <c r="I198" s="13">
        <v>256.475341796875</v>
      </c>
      <c r="J198" s="8">
        <f t="shared" si="13"/>
        <v>3.9498001041117864E-2</v>
      </c>
      <c r="K198" s="13">
        <v>269.89129638671881</v>
      </c>
      <c r="L198" s="8">
        <f t="shared" si="14"/>
        <v>9.3873044975150241E-2</v>
      </c>
      <c r="M198" s="13">
        <v>291.694091796875</v>
      </c>
      <c r="N198" s="8">
        <f t="shared" si="15"/>
        <v>0.18224006726735709</v>
      </c>
    </row>
    <row r="199" spans="1:14" x14ac:dyDescent="0.25">
      <c r="A199" s="17" t="s">
        <v>21</v>
      </c>
      <c r="B199" s="2">
        <v>42916</v>
      </c>
      <c r="C199" s="3">
        <v>213.9</v>
      </c>
      <c r="D199" s="3">
        <v>173.54170380847521</v>
      </c>
      <c r="E199" s="3">
        <v>88.503877862230738</v>
      </c>
      <c r="F199" s="3">
        <v>267.41914674236591</v>
      </c>
      <c r="G199" t="s">
        <v>3</v>
      </c>
      <c r="H199" s="8">
        <f t="shared" si="12"/>
        <v>0.18867833656626834</v>
      </c>
      <c r="I199" s="13">
        <v>157.233154296875</v>
      </c>
      <c r="J199" s="8">
        <f t="shared" si="13"/>
        <v>0.26492213979955587</v>
      </c>
      <c r="K199" s="13">
        <v>162.8540344238281</v>
      </c>
      <c r="L199" s="8">
        <f t="shared" si="14"/>
        <v>0.23864406533974711</v>
      </c>
      <c r="M199" s="13">
        <v>171.2208251953125</v>
      </c>
      <c r="N199" s="8">
        <f t="shared" si="15"/>
        <v>0.19952863396300843</v>
      </c>
    </row>
    <row r="200" spans="1:14" x14ac:dyDescent="0.25">
      <c r="A200" s="17" t="s">
        <v>21</v>
      </c>
      <c r="B200" s="2">
        <v>42947</v>
      </c>
      <c r="C200" s="3">
        <v>74.44</v>
      </c>
      <c r="D200" s="3">
        <v>113.33512612612719</v>
      </c>
      <c r="E200" s="3">
        <v>33.14136312974442</v>
      </c>
      <c r="F200" s="3">
        <v>206.97877002641999</v>
      </c>
      <c r="G200" t="s">
        <v>3</v>
      </c>
      <c r="H200" s="8">
        <f t="shared" si="12"/>
        <v>0.52250303769649642</v>
      </c>
      <c r="I200" s="13">
        <v>105.93531799316411</v>
      </c>
      <c r="J200" s="8">
        <f t="shared" si="13"/>
        <v>0.42309669523326315</v>
      </c>
      <c r="K200" s="13">
        <v>114.851432800293</v>
      </c>
      <c r="L200" s="8">
        <f t="shared" si="14"/>
        <v>0.54287255239512355</v>
      </c>
      <c r="M200" s="13">
        <v>105.6627960205078</v>
      </c>
      <c r="N200" s="8">
        <f t="shared" si="15"/>
        <v>0.41943573375211984</v>
      </c>
    </row>
    <row r="201" spans="1:14" x14ac:dyDescent="0.25">
      <c r="A201" s="17" t="s">
        <v>21</v>
      </c>
      <c r="B201" s="2">
        <v>42978</v>
      </c>
      <c r="C201" s="3">
        <v>68.62</v>
      </c>
      <c r="D201" s="3">
        <v>115.9081031308453</v>
      </c>
      <c r="E201" s="3">
        <v>22.009040372179669</v>
      </c>
      <c r="F201" s="3">
        <v>204.95329610564471</v>
      </c>
      <c r="G201" t="s">
        <v>3</v>
      </c>
      <c r="H201" s="8">
        <f t="shared" si="12"/>
        <v>0.68913003688203578</v>
      </c>
      <c r="I201" s="13">
        <v>86.881797790527344</v>
      </c>
      <c r="J201" s="8">
        <f t="shared" si="13"/>
        <v>0.26612937613709325</v>
      </c>
      <c r="K201" s="13">
        <v>80.892723083496094</v>
      </c>
      <c r="L201" s="8">
        <f t="shared" si="14"/>
        <v>0.17885052584517763</v>
      </c>
      <c r="M201" s="13">
        <v>91.646881103515625</v>
      </c>
      <c r="N201" s="8">
        <f t="shared" si="15"/>
        <v>0.33557098664406321</v>
      </c>
    </row>
    <row r="202" spans="1:14" x14ac:dyDescent="0.25">
      <c r="A202" s="17" t="s">
        <v>21</v>
      </c>
      <c r="B202" s="2">
        <v>43008</v>
      </c>
      <c r="C202" s="3">
        <v>114.27</v>
      </c>
      <c r="D202" s="3">
        <v>117.6703662160445</v>
      </c>
      <c r="E202" s="3">
        <v>27.06877474183559</v>
      </c>
      <c r="F202" s="3">
        <v>208.668273647566</v>
      </c>
      <c r="G202" t="s">
        <v>3</v>
      </c>
      <c r="H202" s="8">
        <f t="shared" si="12"/>
        <v>2.975729601859196E-2</v>
      </c>
      <c r="I202" s="13">
        <v>84.362930297851563</v>
      </c>
      <c r="J202" s="8">
        <f t="shared" si="13"/>
        <v>0.26172284678523178</v>
      </c>
      <c r="K202" s="13">
        <v>84.005531311035156</v>
      </c>
      <c r="L202" s="8">
        <f t="shared" si="14"/>
        <v>0.26485051797466386</v>
      </c>
      <c r="M202" s="13">
        <v>92.423324584960938</v>
      </c>
      <c r="N202" s="8">
        <f t="shared" si="15"/>
        <v>0.19118469777753619</v>
      </c>
    </row>
    <row r="203" spans="1:14" x14ac:dyDescent="0.25">
      <c r="A203" s="17" t="s">
        <v>21</v>
      </c>
      <c r="B203" s="2">
        <v>43039</v>
      </c>
      <c r="C203" s="3">
        <v>69.59</v>
      </c>
      <c r="D203" s="3">
        <v>73.882266399311476</v>
      </c>
      <c r="E203" s="3">
        <v>-13.105652562454029</v>
      </c>
      <c r="F203" s="3">
        <v>157.37521035824321</v>
      </c>
      <c r="G203" t="s">
        <v>3</v>
      </c>
      <c r="H203" s="8">
        <f t="shared" si="12"/>
        <v>6.1679356219449234E-2</v>
      </c>
      <c r="I203" s="13">
        <v>82.86285400390625</v>
      </c>
      <c r="J203" s="8">
        <f t="shared" si="13"/>
        <v>0.1907293289827022</v>
      </c>
      <c r="K203" s="13">
        <v>97.830322265625</v>
      </c>
      <c r="L203" s="8">
        <f t="shared" si="14"/>
        <v>0.4058100627335105</v>
      </c>
      <c r="M203" s="13">
        <v>92.208488464355469</v>
      </c>
      <c r="N203" s="8">
        <f t="shared" si="15"/>
        <v>0.32502498152544135</v>
      </c>
    </row>
    <row r="204" spans="1:14" x14ac:dyDescent="0.25">
      <c r="A204" s="17" t="s">
        <v>21</v>
      </c>
      <c r="B204" s="2">
        <v>43069</v>
      </c>
      <c r="C204" s="3">
        <v>33.74</v>
      </c>
      <c r="D204" s="3">
        <v>60.367837188814718</v>
      </c>
      <c r="E204" s="3">
        <v>-36.627535306565221</v>
      </c>
      <c r="F204" s="3">
        <v>150.0041976640461</v>
      </c>
      <c r="G204" t="s">
        <v>3</v>
      </c>
      <c r="H204" s="8">
        <f t="shared" si="12"/>
        <v>0.78920679279237449</v>
      </c>
      <c r="I204" s="13">
        <v>71.677192687988281</v>
      </c>
      <c r="J204" s="8">
        <f t="shared" si="13"/>
        <v>1.1243981235325511</v>
      </c>
      <c r="K204" s="13">
        <v>93.38946533203125</v>
      </c>
      <c r="L204" s="8">
        <f t="shared" si="14"/>
        <v>1.7679153921763855</v>
      </c>
      <c r="M204" s="13">
        <v>73.511116027832031</v>
      </c>
      <c r="N204" s="8">
        <f t="shared" si="15"/>
        <v>1.1787526979203327</v>
      </c>
    </row>
    <row r="205" spans="1:14" x14ac:dyDescent="0.25">
      <c r="A205" s="17" t="s">
        <v>21</v>
      </c>
      <c r="B205" s="2">
        <v>43100</v>
      </c>
      <c r="C205" s="3">
        <v>78.91</v>
      </c>
      <c r="D205" s="3">
        <v>94.280106450426914</v>
      </c>
      <c r="E205" s="3">
        <v>8.4855718699120626</v>
      </c>
      <c r="F205" s="3">
        <v>185.18882988049899</v>
      </c>
      <c r="G205" t="s">
        <v>3</v>
      </c>
      <c r="H205" s="8">
        <f t="shared" si="12"/>
        <v>0.19478021100528345</v>
      </c>
      <c r="I205" s="13">
        <v>91.830963134765625</v>
      </c>
      <c r="J205" s="8">
        <f t="shared" si="13"/>
        <v>0.16374303807838841</v>
      </c>
      <c r="K205" s="13">
        <v>112.97227478027339</v>
      </c>
      <c r="L205" s="8">
        <f t="shared" si="14"/>
        <v>0.43165979952190342</v>
      </c>
      <c r="M205" s="13">
        <v>89.375907897949219</v>
      </c>
      <c r="N205" s="8">
        <f t="shared" si="15"/>
        <v>0.13263094535482478</v>
      </c>
    </row>
    <row r="206" spans="1:14" x14ac:dyDescent="0.25">
      <c r="A206" s="17" t="s">
        <v>21</v>
      </c>
      <c r="B206" s="2">
        <v>43131</v>
      </c>
      <c r="C206" s="3">
        <v>121.59</v>
      </c>
      <c r="D206" s="3">
        <v>248.09510825266699</v>
      </c>
      <c r="E206" s="3">
        <v>153.50551341770739</v>
      </c>
      <c r="F206" s="3">
        <v>330.42817004672708</v>
      </c>
      <c r="G206" t="s">
        <v>3</v>
      </c>
      <c r="H206" s="8">
        <f t="shared" si="12"/>
        <v>1.0404236224415411</v>
      </c>
      <c r="I206" s="13">
        <v>278.5987548828125</v>
      </c>
      <c r="J206" s="8">
        <f t="shared" si="13"/>
        <v>1.2912966105996586</v>
      </c>
      <c r="K206" s="13">
        <v>255.46624755859381</v>
      </c>
      <c r="L206" s="8">
        <f t="shared" si="14"/>
        <v>1.101046529801742</v>
      </c>
      <c r="M206" s="13">
        <v>233.47845458984381</v>
      </c>
      <c r="N206" s="8">
        <f t="shared" si="15"/>
        <v>0.92021099259679084</v>
      </c>
    </row>
    <row r="207" spans="1:14" x14ac:dyDescent="0.25">
      <c r="A207" s="17" t="s">
        <v>21</v>
      </c>
      <c r="B207" s="2">
        <v>43159</v>
      </c>
      <c r="C207" s="3">
        <v>420.46</v>
      </c>
      <c r="D207" s="3">
        <v>364.84144085834077</v>
      </c>
      <c r="E207" s="3">
        <v>279.64063833364332</v>
      </c>
      <c r="F207" s="3">
        <v>452.46928267283027</v>
      </c>
      <c r="G207" t="s">
        <v>3</v>
      </c>
      <c r="H207" s="8">
        <f t="shared" si="12"/>
        <v>0.13228026243081198</v>
      </c>
      <c r="I207" s="13">
        <v>360.97906494140619</v>
      </c>
      <c r="J207" s="8">
        <f t="shared" si="13"/>
        <v>0.14146633463015218</v>
      </c>
      <c r="K207" s="13">
        <v>338.61398315429688</v>
      </c>
      <c r="L207" s="8">
        <f t="shared" si="14"/>
        <v>0.19465827152571732</v>
      </c>
      <c r="M207" s="13">
        <v>356.4381103515625</v>
      </c>
      <c r="N207" s="8">
        <f t="shared" si="15"/>
        <v>0.15226630273614014</v>
      </c>
    </row>
    <row r="208" spans="1:14" x14ac:dyDescent="0.25">
      <c r="A208" s="17" t="s">
        <v>21</v>
      </c>
      <c r="B208" s="2">
        <v>43190</v>
      </c>
      <c r="C208" s="3">
        <v>277.22000000000003</v>
      </c>
      <c r="D208" s="3">
        <v>377.43365154472173</v>
      </c>
      <c r="E208" s="3">
        <v>289.46554212576888</v>
      </c>
      <c r="F208" s="3">
        <v>470.84170888157092</v>
      </c>
      <c r="G208" t="s">
        <v>3</v>
      </c>
      <c r="H208" s="8">
        <f t="shared" si="12"/>
        <v>0.36149502757637142</v>
      </c>
      <c r="I208" s="13">
        <v>409.447509765625</v>
      </c>
      <c r="J208" s="8">
        <f t="shared" si="13"/>
        <v>0.4769768045798462</v>
      </c>
      <c r="K208" s="13">
        <v>418.47525024414063</v>
      </c>
      <c r="L208" s="8">
        <f t="shared" si="14"/>
        <v>0.509542061338073</v>
      </c>
      <c r="M208" s="13">
        <v>356.09442138671881</v>
      </c>
      <c r="N208" s="8">
        <f t="shared" si="15"/>
        <v>0.28451923160925896</v>
      </c>
    </row>
    <row r="209" spans="1:14" x14ac:dyDescent="0.25">
      <c r="A209" s="17" t="s">
        <v>21</v>
      </c>
      <c r="B209" s="2">
        <v>43220</v>
      </c>
      <c r="C209" s="3">
        <v>205.57</v>
      </c>
      <c r="D209" s="3">
        <v>133.79339275579261</v>
      </c>
      <c r="E209" s="3">
        <v>36.044188407352067</v>
      </c>
      <c r="F209" s="3">
        <v>224.04549176657349</v>
      </c>
      <c r="G209" t="s">
        <v>3</v>
      </c>
      <c r="H209" s="8">
        <f t="shared" si="12"/>
        <v>0.34915895920711865</v>
      </c>
      <c r="I209" s="13">
        <v>306.90237426757813</v>
      </c>
      <c r="J209" s="8">
        <f t="shared" si="13"/>
        <v>0.49293366866555499</v>
      </c>
      <c r="K209" s="13">
        <v>319.06402587890619</v>
      </c>
      <c r="L209" s="8">
        <f t="shared" si="14"/>
        <v>0.55209430305446416</v>
      </c>
      <c r="M209" s="13">
        <v>220.5561218261719</v>
      </c>
      <c r="N209" s="8">
        <f t="shared" si="15"/>
        <v>7.2900334806498573E-2</v>
      </c>
    </row>
    <row r="210" spans="1:14" x14ac:dyDescent="0.25">
      <c r="A210" s="17" t="s">
        <v>21</v>
      </c>
      <c r="B210" s="2">
        <v>43251</v>
      </c>
      <c r="C210" s="3">
        <v>254.51</v>
      </c>
      <c r="D210" s="3">
        <v>223.64532337184781</v>
      </c>
      <c r="E210" s="3">
        <v>133.7283982079289</v>
      </c>
      <c r="F210" s="3">
        <v>317.72627771952227</v>
      </c>
      <c r="G210" t="s">
        <v>3</v>
      </c>
      <c r="H210" s="8">
        <f t="shared" si="12"/>
        <v>0.12127097806825737</v>
      </c>
      <c r="I210" s="13">
        <v>191.53633117675781</v>
      </c>
      <c r="J210" s="8">
        <f t="shared" si="13"/>
        <v>0.2474310196976236</v>
      </c>
      <c r="K210" s="13">
        <v>193.99853515625</v>
      </c>
      <c r="L210" s="8">
        <f t="shared" si="14"/>
        <v>0.23775672800184666</v>
      </c>
      <c r="M210" s="13">
        <v>201.04930114746091</v>
      </c>
      <c r="N210" s="8">
        <f t="shared" si="15"/>
        <v>0.21005343150579184</v>
      </c>
    </row>
    <row r="211" spans="1:14" x14ac:dyDescent="0.25">
      <c r="A211" s="17" t="s">
        <v>21</v>
      </c>
      <c r="B211" s="2">
        <v>43281</v>
      </c>
      <c r="C211" s="3">
        <v>67.03</v>
      </c>
      <c r="D211" s="3">
        <v>128.81844856277669</v>
      </c>
      <c r="E211" s="3">
        <v>40.043246025677853</v>
      </c>
      <c r="F211" s="3">
        <v>217.74491106930921</v>
      </c>
      <c r="G211" t="s">
        <v>3</v>
      </c>
      <c r="H211" s="8">
        <f t="shared" si="12"/>
        <v>0.92180290262235853</v>
      </c>
      <c r="I211" s="13">
        <v>130.87110900878909</v>
      </c>
      <c r="J211" s="8">
        <f t="shared" si="13"/>
        <v>0.95242591390107545</v>
      </c>
      <c r="K211" s="13">
        <v>137.74591064453119</v>
      </c>
      <c r="L211" s="8">
        <f t="shared" si="14"/>
        <v>1.0549889697826524</v>
      </c>
      <c r="M211" s="13">
        <v>117.9420547485352</v>
      </c>
      <c r="N211" s="8">
        <f t="shared" si="15"/>
        <v>0.75954132102842309</v>
      </c>
    </row>
    <row r="212" spans="1:14" x14ac:dyDescent="0.25">
      <c r="A212" s="17" t="s">
        <v>21</v>
      </c>
      <c r="B212" s="2">
        <v>43312</v>
      </c>
      <c r="C212" s="3">
        <v>80.47</v>
      </c>
      <c r="D212" s="3">
        <v>83.781046684032802</v>
      </c>
      <c r="E212" s="3">
        <v>-7.528373264331452</v>
      </c>
      <c r="F212" s="3">
        <v>174.89212673869099</v>
      </c>
      <c r="G212" t="s">
        <v>3</v>
      </c>
      <c r="H212" s="8">
        <f t="shared" si="12"/>
        <v>4.1146348751495004E-2</v>
      </c>
      <c r="I212" s="13">
        <v>97.496337890625</v>
      </c>
      <c r="J212" s="8">
        <f t="shared" si="13"/>
        <v>0.21158615497234995</v>
      </c>
      <c r="K212" s="13">
        <v>90.538848876953125</v>
      </c>
      <c r="L212" s="8">
        <f t="shared" si="14"/>
        <v>0.12512549865730244</v>
      </c>
      <c r="M212" s="13">
        <v>95.221923828125</v>
      </c>
      <c r="N212" s="8">
        <f t="shared" si="15"/>
        <v>0.18332203091990806</v>
      </c>
    </row>
    <row r="213" spans="1:14" x14ac:dyDescent="0.25">
      <c r="A213" s="17" t="s">
        <v>21</v>
      </c>
      <c r="B213" s="2">
        <v>43343</v>
      </c>
      <c r="C213" s="3">
        <v>43.56</v>
      </c>
      <c r="D213" s="3">
        <v>55.941420579601782</v>
      </c>
      <c r="E213" s="3">
        <v>-31.814354509878971</v>
      </c>
      <c r="F213" s="3">
        <v>143.65125493600479</v>
      </c>
      <c r="G213" t="s">
        <v>3</v>
      </c>
      <c r="H213" s="8">
        <f t="shared" si="12"/>
        <v>0.28423830531684524</v>
      </c>
      <c r="I213" s="13">
        <v>91.173698425292969</v>
      </c>
      <c r="J213" s="8">
        <f t="shared" si="13"/>
        <v>1.0930601107734841</v>
      </c>
      <c r="K213" s="13">
        <v>85.326469421386719</v>
      </c>
      <c r="L213" s="8">
        <f t="shared" si="14"/>
        <v>0.95882620342944702</v>
      </c>
      <c r="M213" s="13">
        <v>70.783645629882813</v>
      </c>
      <c r="N213" s="8">
        <f t="shared" si="15"/>
        <v>0.62496890794037674</v>
      </c>
    </row>
    <row r="214" spans="1:14" x14ac:dyDescent="0.25">
      <c r="A214" s="17" t="s">
        <v>21</v>
      </c>
      <c r="B214" s="2">
        <v>43373</v>
      </c>
      <c r="C214" s="3">
        <v>60.97</v>
      </c>
      <c r="D214" s="3">
        <v>95.416131777798142</v>
      </c>
      <c r="E214" s="3">
        <v>1.659916996975408</v>
      </c>
      <c r="F214" s="3">
        <v>183.31186798709419</v>
      </c>
      <c r="G214" t="s">
        <v>3</v>
      </c>
      <c r="H214" s="8">
        <f t="shared" si="12"/>
        <v>0.56496853826140958</v>
      </c>
      <c r="I214" s="13">
        <v>82.851608276367188</v>
      </c>
      <c r="J214" s="8">
        <f t="shared" si="13"/>
        <v>0.35889139374064605</v>
      </c>
      <c r="K214" s="13">
        <v>93.886726379394531</v>
      </c>
      <c r="L214" s="8">
        <f t="shared" si="14"/>
        <v>0.53988398194840959</v>
      </c>
      <c r="M214" s="13">
        <v>76.652229309082031</v>
      </c>
      <c r="N214" s="8">
        <f t="shared" si="15"/>
        <v>0.25721222419357115</v>
      </c>
    </row>
    <row r="215" spans="1:14" x14ac:dyDescent="0.25">
      <c r="A215" s="17" t="s">
        <v>21</v>
      </c>
      <c r="B215" s="2">
        <v>43404</v>
      </c>
      <c r="C215" s="3">
        <v>23.46</v>
      </c>
      <c r="D215" s="3">
        <v>57.150179871542178</v>
      </c>
      <c r="E215" s="3">
        <v>-31.66645589066842</v>
      </c>
      <c r="F215" s="3">
        <v>147.36297239530199</v>
      </c>
      <c r="G215" t="s">
        <v>3</v>
      </c>
      <c r="H215" s="8">
        <f t="shared" si="12"/>
        <v>1.4360690482328293</v>
      </c>
      <c r="I215" s="13">
        <v>56.777256011962891</v>
      </c>
      <c r="J215" s="8">
        <f t="shared" si="13"/>
        <v>1.4201728905355024</v>
      </c>
      <c r="K215" s="13">
        <v>62.490726470947273</v>
      </c>
      <c r="L215" s="8">
        <f t="shared" si="14"/>
        <v>1.6637138308161667</v>
      </c>
      <c r="M215" s="13">
        <v>67.672538757324219</v>
      </c>
      <c r="N215" s="8">
        <f t="shared" si="15"/>
        <v>1.8845924448987303</v>
      </c>
    </row>
    <row r="216" spans="1:14" x14ac:dyDescent="0.25">
      <c r="A216" s="17" t="s">
        <v>21</v>
      </c>
      <c r="B216" s="2">
        <v>43434</v>
      </c>
      <c r="C216" s="3">
        <v>45.46</v>
      </c>
      <c r="D216" s="3">
        <v>51.542620679247648</v>
      </c>
      <c r="E216" s="3">
        <v>-31.61082405913465</v>
      </c>
      <c r="F216" s="3">
        <v>146.31930772383831</v>
      </c>
      <c r="G216" t="s">
        <v>3</v>
      </c>
      <c r="H216" s="8">
        <f t="shared" si="12"/>
        <v>0.13380159875159803</v>
      </c>
      <c r="I216" s="13">
        <v>36.106822967529297</v>
      </c>
      <c r="J216" s="8">
        <f t="shared" si="13"/>
        <v>0.20574520528972071</v>
      </c>
      <c r="K216" s="13">
        <v>33.205043792724609</v>
      </c>
      <c r="L216" s="8">
        <f t="shared" si="14"/>
        <v>0.26957668735757567</v>
      </c>
      <c r="M216" s="13">
        <v>47.403873443603523</v>
      </c>
      <c r="N216" s="8">
        <f t="shared" si="15"/>
        <v>4.2760084549131584E-2</v>
      </c>
    </row>
    <row r="217" spans="1:14" x14ac:dyDescent="0.25">
      <c r="A217" s="17" t="s">
        <v>21</v>
      </c>
      <c r="B217" s="2">
        <v>43465</v>
      </c>
      <c r="C217" s="3">
        <v>218.6</v>
      </c>
      <c r="D217" s="3">
        <v>97.66254896196601</v>
      </c>
      <c r="E217" s="3">
        <v>8.7598931719305622</v>
      </c>
      <c r="F217" s="3">
        <v>182.35231558729939</v>
      </c>
      <c r="G217" t="s">
        <v>3</v>
      </c>
      <c r="H217" s="8">
        <f t="shared" si="12"/>
        <v>0.55323628105230549</v>
      </c>
      <c r="I217" s="13">
        <v>80.359817504882813</v>
      </c>
      <c r="J217" s="8">
        <f t="shared" si="13"/>
        <v>0.63238875798315275</v>
      </c>
      <c r="K217" s="13">
        <v>68.761146545410156</v>
      </c>
      <c r="L217" s="8">
        <f t="shared" si="14"/>
        <v>0.68544763702923073</v>
      </c>
      <c r="M217" s="13">
        <v>135.26786804199219</v>
      </c>
      <c r="N217" s="8">
        <f t="shared" si="15"/>
        <v>0.38120828892043829</v>
      </c>
    </row>
    <row r="218" spans="1:14" x14ac:dyDescent="0.25">
      <c r="A218" s="17" t="s">
        <v>21</v>
      </c>
      <c r="B218" s="2">
        <v>43496</v>
      </c>
      <c r="C218" s="3">
        <v>370.6</v>
      </c>
      <c r="D218" s="3">
        <v>281.83260763092949</v>
      </c>
      <c r="E218" s="3">
        <v>191.48146134990279</v>
      </c>
      <c r="F218" s="3">
        <v>368.71163557960989</v>
      </c>
      <c r="G218" t="s">
        <v>3</v>
      </c>
      <c r="H218" s="8">
        <f t="shared" si="12"/>
        <v>0.23952345485448065</v>
      </c>
      <c r="I218" s="13">
        <v>290.74179077148438</v>
      </c>
      <c r="J218" s="8">
        <f t="shared" si="13"/>
        <v>0.21548356510662614</v>
      </c>
      <c r="K218" s="13">
        <v>287.64743041992188</v>
      </c>
      <c r="L218" s="8">
        <f t="shared" si="14"/>
        <v>0.22383316130620115</v>
      </c>
      <c r="M218" s="13">
        <v>298.6292724609375</v>
      </c>
      <c r="N218" s="8">
        <f t="shared" si="15"/>
        <v>0.19420056000826369</v>
      </c>
    </row>
    <row r="219" spans="1:14" x14ac:dyDescent="0.25">
      <c r="A219" s="17" t="s">
        <v>21</v>
      </c>
      <c r="B219" s="2">
        <v>43524</v>
      </c>
      <c r="C219" s="3">
        <v>436.08</v>
      </c>
      <c r="D219" s="3">
        <v>399.62980768455191</v>
      </c>
      <c r="E219" s="3">
        <v>306.65004301093478</v>
      </c>
      <c r="F219" s="3">
        <v>493.93976671863061</v>
      </c>
      <c r="G219" t="s">
        <v>3</v>
      </c>
      <c r="H219" s="8">
        <f t="shared" si="12"/>
        <v>8.3586021636965879E-2</v>
      </c>
      <c r="I219" s="13">
        <v>432.78231811523438</v>
      </c>
      <c r="J219" s="8">
        <f t="shared" si="13"/>
        <v>7.5621030195505623E-3</v>
      </c>
      <c r="K219" s="13">
        <v>460.82757568359381</v>
      </c>
      <c r="L219" s="8">
        <f t="shared" si="14"/>
        <v>5.675008182809077E-2</v>
      </c>
      <c r="M219" s="13">
        <v>412.33236694335938</v>
      </c>
      <c r="N219" s="8">
        <f t="shared" si="15"/>
        <v>5.4457056174648251E-2</v>
      </c>
    </row>
    <row r="220" spans="1:14" x14ac:dyDescent="0.25">
      <c r="A220" s="17" t="s">
        <v>21</v>
      </c>
      <c r="B220" s="2">
        <v>43555</v>
      </c>
      <c r="C220" s="3">
        <v>437.36</v>
      </c>
      <c r="D220" s="3">
        <v>407.79056734214117</v>
      </c>
      <c r="E220" s="3">
        <v>317.74149137076182</v>
      </c>
      <c r="F220" s="3">
        <v>497.10054537498121</v>
      </c>
      <c r="G220" t="s">
        <v>3</v>
      </c>
      <c r="H220" s="8">
        <f t="shared" si="12"/>
        <v>6.7608909497573713E-2</v>
      </c>
      <c r="I220" s="13">
        <v>429.40032958984381</v>
      </c>
      <c r="J220" s="8">
        <f t="shared" si="13"/>
        <v>1.8199356160042542E-2</v>
      </c>
      <c r="K220" s="13">
        <v>468.64486694335938</v>
      </c>
      <c r="L220" s="8">
        <f t="shared" si="14"/>
        <v>7.1531157269433335E-2</v>
      </c>
      <c r="M220" s="13">
        <v>458.06573486328119</v>
      </c>
      <c r="N220" s="8">
        <f t="shared" si="15"/>
        <v>4.7342543587162014E-2</v>
      </c>
    </row>
    <row r="221" spans="1:14" x14ac:dyDescent="0.25">
      <c r="A221" s="17" t="s">
        <v>21</v>
      </c>
      <c r="B221" s="2">
        <v>43585</v>
      </c>
      <c r="C221" s="3">
        <v>294.08999999999997</v>
      </c>
      <c r="D221" s="3">
        <v>396.16338659193929</v>
      </c>
      <c r="E221" s="3">
        <v>306.16832172789009</v>
      </c>
      <c r="F221" s="3">
        <v>487.38299534033598</v>
      </c>
      <c r="G221" t="s">
        <v>3</v>
      </c>
      <c r="H221" s="8">
        <f t="shared" si="12"/>
        <v>0.34708214013376626</v>
      </c>
      <c r="I221" s="13">
        <v>280.14395141601563</v>
      </c>
      <c r="J221" s="8">
        <f t="shared" si="13"/>
        <v>4.7421022761686395E-2</v>
      </c>
      <c r="K221" s="13">
        <v>331.634521484375</v>
      </c>
      <c r="L221" s="8">
        <f t="shared" si="14"/>
        <v>0.12766337340397507</v>
      </c>
      <c r="M221" s="13">
        <v>331.76217651367188</v>
      </c>
      <c r="N221" s="8">
        <f t="shared" si="15"/>
        <v>0.12809744130596723</v>
      </c>
    </row>
    <row r="222" spans="1:14" x14ac:dyDescent="0.25">
      <c r="A222" s="17" t="s">
        <v>21</v>
      </c>
      <c r="B222" s="2">
        <v>43616</v>
      </c>
      <c r="C222" s="3">
        <v>317.25</v>
      </c>
      <c r="D222" s="3">
        <v>244.08711759815949</v>
      </c>
      <c r="E222" s="3">
        <v>148.8098463987572</v>
      </c>
      <c r="F222" s="3">
        <v>332.5500838834941</v>
      </c>
      <c r="G222" t="s">
        <v>3</v>
      </c>
      <c r="H222" s="8">
        <f t="shared" si="12"/>
        <v>0.23061586257475336</v>
      </c>
      <c r="I222" s="13">
        <v>181.93873596191409</v>
      </c>
      <c r="J222" s="8">
        <f t="shared" si="13"/>
        <v>0.42651304661335193</v>
      </c>
      <c r="K222" s="13">
        <v>194.77294921875</v>
      </c>
      <c r="L222" s="8">
        <f t="shared" si="14"/>
        <v>0.38605847369976359</v>
      </c>
      <c r="M222" s="13">
        <v>200.82525634765619</v>
      </c>
      <c r="N222" s="8">
        <f t="shared" si="15"/>
        <v>0.36698106746207659</v>
      </c>
    </row>
    <row r="223" spans="1:14" x14ac:dyDescent="0.25">
      <c r="A223" s="17" t="s">
        <v>21</v>
      </c>
      <c r="B223" s="2">
        <v>43646</v>
      </c>
      <c r="C223" s="3">
        <v>183.4</v>
      </c>
      <c r="D223" s="3">
        <v>178.82972481578091</v>
      </c>
      <c r="E223" s="3">
        <v>95.182532446634099</v>
      </c>
      <c r="F223" s="3">
        <v>271.6356117873068</v>
      </c>
      <c r="G223" t="s">
        <v>3</v>
      </c>
      <c r="H223" s="8">
        <f t="shared" si="12"/>
        <v>2.4919712018642851E-2</v>
      </c>
      <c r="I223" s="13">
        <v>120.3860702514648</v>
      </c>
      <c r="J223" s="8">
        <f t="shared" si="13"/>
        <v>0.34358740320902509</v>
      </c>
      <c r="K223" s="13">
        <v>138.03826904296881</v>
      </c>
      <c r="L223" s="8">
        <f t="shared" si="14"/>
        <v>0.24733768242656051</v>
      </c>
      <c r="M223" s="13">
        <v>144.98216247558591</v>
      </c>
      <c r="N223" s="8">
        <f t="shared" si="15"/>
        <v>0.20947566807205067</v>
      </c>
    </row>
    <row r="224" spans="1:14" x14ac:dyDescent="0.25">
      <c r="A224" s="17" t="s">
        <v>21</v>
      </c>
      <c r="B224" s="2">
        <v>43677</v>
      </c>
      <c r="C224" s="3">
        <v>96.009999999999991</v>
      </c>
      <c r="D224" s="3">
        <v>88.336073528640611</v>
      </c>
      <c r="E224" s="3">
        <v>-0.8989691007957652</v>
      </c>
      <c r="F224" s="3">
        <v>178.68505451947681</v>
      </c>
      <c r="G224" t="s">
        <v>3</v>
      </c>
      <c r="H224" s="8">
        <f t="shared" si="12"/>
        <v>7.9928408200805962E-2</v>
      </c>
      <c r="I224" s="13">
        <v>93.571678161621094</v>
      </c>
      <c r="J224" s="8">
        <f t="shared" si="13"/>
        <v>2.5396540343494402E-2</v>
      </c>
      <c r="K224" s="13">
        <v>97.165290832519531</v>
      </c>
      <c r="L224" s="8">
        <f t="shared" si="14"/>
        <v>1.2033026065196755E-2</v>
      </c>
      <c r="M224" s="13">
        <v>103.4298629760742</v>
      </c>
      <c r="N224" s="8">
        <f t="shared" si="15"/>
        <v>7.7282189106074511E-2</v>
      </c>
    </row>
    <row r="225" spans="1:14" x14ac:dyDescent="0.25">
      <c r="A225" s="17" t="s">
        <v>21</v>
      </c>
      <c r="B225" s="2">
        <v>43708</v>
      </c>
      <c r="C225" s="3">
        <v>38.799999999999997</v>
      </c>
      <c r="D225" s="3">
        <v>44.846807936657846</v>
      </c>
      <c r="E225" s="3">
        <v>-47.596663109106089</v>
      </c>
      <c r="F225" s="3">
        <v>131.38994056045831</v>
      </c>
      <c r="G225" t="s">
        <v>3</v>
      </c>
      <c r="H225" s="8">
        <f t="shared" si="12"/>
        <v>0.15584556537777963</v>
      </c>
      <c r="I225" s="13">
        <v>87.093528747558594</v>
      </c>
      <c r="J225" s="8">
        <f t="shared" si="13"/>
        <v>1.2446785759680052</v>
      </c>
      <c r="K225" s="13">
        <v>77.493927001953125</v>
      </c>
      <c r="L225" s="8">
        <f t="shared" si="14"/>
        <v>0.9972661598441529</v>
      </c>
      <c r="M225" s="13">
        <v>86.484504699707031</v>
      </c>
      <c r="N225" s="8">
        <f t="shared" si="15"/>
        <v>1.2289820798893567</v>
      </c>
    </row>
    <row r="226" spans="1:14" x14ac:dyDescent="0.25">
      <c r="A226" s="17" t="s">
        <v>21</v>
      </c>
      <c r="B226" s="2">
        <v>43738</v>
      </c>
      <c r="C226" s="3">
        <v>52.01</v>
      </c>
      <c r="D226" s="3">
        <v>55.486394971429057</v>
      </c>
      <c r="E226" s="3">
        <v>-34.74617600348639</v>
      </c>
      <c r="F226" s="3">
        <v>145.96592869601241</v>
      </c>
      <c r="G226" t="s">
        <v>3</v>
      </c>
      <c r="H226" s="8">
        <f t="shared" si="12"/>
        <v>6.6840895432206476E-2</v>
      </c>
      <c r="I226" s="13">
        <v>85.63702392578125</v>
      </c>
      <c r="J226" s="8">
        <f t="shared" si="13"/>
        <v>0.6465492006495146</v>
      </c>
      <c r="K226" s="13">
        <v>92.41754150390625</v>
      </c>
      <c r="L226" s="8">
        <f t="shared" si="14"/>
        <v>0.77691869840235062</v>
      </c>
      <c r="M226" s="13">
        <v>85.953689575195313</v>
      </c>
      <c r="N226" s="8">
        <f t="shared" si="15"/>
        <v>0.65263775380110201</v>
      </c>
    </row>
    <row r="227" spans="1:14" x14ac:dyDescent="0.25">
      <c r="A227" s="17" t="s">
        <v>21</v>
      </c>
      <c r="B227" s="2">
        <v>43769</v>
      </c>
      <c r="C227" s="3">
        <v>119.44</v>
      </c>
      <c r="D227" s="3">
        <v>88.234985569293215</v>
      </c>
      <c r="E227" s="3">
        <v>0.74341378025353944</v>
      </c>
      <c r="F227" s="3">
        <v>179.7465415253337</v>
      </c>
      <c r="G227" t="s">
        <v>3</v>
      </c>
      <c r="H227" s="8">
        <f t="shared" si="12"/>
        <v>0.26126100494563614</v>
      </c>
      <c r="I227" s="13">
        <v>76.117301940917969</v>
      </c>
      <c r="J227" s="8">
        <f t="shared" si="13"/>
        <v>0.36271515454690245</v>
      </c>
      <c r="K227" s="13">
        <v>93.355255126953125</v>
      </c>
      <c r="L227" s="8">
        <f t="shared" si="14"/>
        <v>0.21839203678036564</v>
      </c>
      <c r="M227" s="13">
        <v>68.367195129394531</v>
      </c>
      <c r="N227" s="8">
        <f t="shared" si="15"/>
        <v>0.42760218411424539</v>
      </c>
    </row>
    <row r="228" spans="1:14" x14ac:dyDescent="0.25">
      <c r="A228" s="17" t="s">
        <v>21</v>
      </c>
      <c r="B228" s="2">
        <v>43799</v>
      </c>
      <c r="C228" s="3">
        <v>43.65</v>
      </c>
      <c r="D228" s="3">
        <v>49.217096604493719</v>
      </c>
      <c r="E228" s="3">
        <v>-38.999118556271263</v>
      </c>
      <c r="F228" s="3">
        <v>141.24967355123241</v>
      </c>
      <c r="G228" t="s">
        <v>3</v>
      </c>
      <c r="H228" s="8">
        <f t="shared" si="12"/>
        <v>0.12753944111096724</v>
      </c>
      <c r="I228" s="13">
        <v>61.076808929443359</v>
      </c>
      <c r="J228" s="8">
        <f t="shared" si="13"/>
        <v>0.39923960892195559</v>
      </c>
      <c r="K228" s="13">
        <v>68.339035034179688</v>
      </c>
      <c r="L228" s="8">
        <f t="shared" si="14"/>
        <v>0.56561363193996994</v>
      </c>
      <c r="M228" s="13">
        <v>60.403026580810547</v>
      </c>
      <c r="N228" s="8">
        <f t="shared" si="15"/>
        <v>0.38380358718924512</v>
      </c>
    </row>
    <row r="229" spans="1:14" x14ac:dyDescent="0.25">
      <c r="A229" s="17" t="s">
        <v>21</v>
      </c>
      <c r="B229" s="2">
        <v>43830</v>
      </c>
      <c r="C229" s="3">
        <v>97.5</v>
      </c>
      <c r="D229" s="3">
        <v>132.32931039907359</v>
      </c>
      <c r="E229" s="3">
        <v>35.280088800238097</v>
      </c>
      <c r="F229" s="3">
        <v>215.61482437932841</v>
      </c>
      <c r="G229" t="s">
        <v>3</v>
      </c>
      <c r="H229" s="8">
        <f t="shared" si="12"/>
        <v>0.3572236964007548</v>
      </c>
      <c r="I229" s="13">
        <v>80.766548156738281</v>
      </c>
      <c r="J229" s="8">
        <f t="shared" si="13"/>
        <v>0.1716251471103766</v>
      </c>
      <c r="K229" s="13">
        <v>83.644004821777344</v>
      </c>
      <c r="L229" s="8">
        <f t="shared" si="14"/>
        <v>0.14211277105869391</v>
      </c>
      <c r="M229" s="13">
        <v>123.80995178222661</v>
      </c>
      <c r="N229" s="8">
        <f t="shared" si="15"/>
        <v>0.26984565930488824</v>
      </c>
    </row>
    <row r="230" spans="1:14" x14ac:dyDescent="0.25">
      <c r="A230" s="17" t="s">
        <v>21</v>
      </c>
      <c r="B230" s="2">
        <v>43861</v>
      </c>
      <c r="C230" s="3">
        <v>156.05000000000001</v>
      </c>
      <c r="D230" s="3">
        <v>161.47625093516669</v>
      </c>
      <c r="E230" s="3">
        <v>161.47625093516669</v>
      </c>
      <c r="F230" s="3">
        <v>343.53997070952232</v>
      </c>
      <c r="G230" t="s">
        <v>3</v>
      </c>
      <c r="H230" s="8">
        <f t="shared" si="12"/>
        <v>3.4772514804015879E-2</v>
      </c>
      <c r="I230" s="13">
        <v>246.6925048828125</v>
      </c>
      <c r="J230" s="8">
        <f t="shared" si="13"/>
        <v>0.58085552632369419</v>
      </c>
      <c r="K230" s="13">
        <v>246.58839416503909</v>
      </c>
      <c r="L230" s="8">
        <f t="shared" si="14"/>
        <v>0.58018836376186522</v>
      </c>
      <c r="M230" s="13">
        <v>265.62078857421881</v>
      </c>
      <c r="N230" s="8">
        <f t="shared" si="15"/>
        <v>0.70215180118051135</v>
      </c>
    </row>
    <row r="231" spans="1:14" x14ac:dyDescent="0.25">
      <c r="A231" s="17" t="s">
        <v>21</v>
      </c>
      <c r="B231" s="2">
        <v>43890</v>
      </c>
      <c r="C231" s="3">
        <v>353.1</v>
      </c>
      <c r="D231" s="3">
        <v>324.56418429520971</v>
      </c>
      <c r="E231" s="3">
        <v>324.56418429520971</v>
      </c>
      <c r="F231" s="3">
        <v>506.09017209143872</v>
      </c>
      <c r="G231" t="s">
        <v>3</v>
      </c>
      <c r="H231" s="8">
        <f t="shared" si="12"/>
        <v>8.0815111030275583E-2</v>
      </c>
      <c r="I231" s="13">
        <v>342.50714111328119</v>
      </c>
      <c r="J231" s="8">
        <f t="shared" si="13"/>
        <v>2.9999600358875188E-2</v>
      </c>
      <c r="K231" s="13">
        <v>358.83334350585938</v>
      </c>
      <c r="L231" s="8">
        <f t="shared" si="14"/>
        <v>1.6237166541657751E-2</v>
      </c>
      <c r="M231" s="13">
        <v>349.57421875</v>
      </c>
      <c r="N231" s="8">
        <f t="shared" si="15"/>
        <v>9.9852201925800695E-3</v>
      </c>
    </row>
    <row r="232" spans="1:14" x14ac:dyDescent="0.25">
      <c r="A232" s="17" t="s">
        <v>21</v>
      </c>
      <c r="B232" s="2">
        <v>43921</v>
      </c>
      <c r="C232" s="3">
        <v>368.14</v>
      </c>
      <c r="D232" s="3">
        <v>343.32121502757968</v>
      </c>
      <c r="E232" s="3">
        <v>343.32121502757968</v>
      </c>
      <c r="F232" s="3">
        <v>528.23111471185905</v>
      </c>
      <c r="G232" t="s">
        <v>3</v>
      </c>
      <c r="H232" s="8">
        <f t="shared" si="12"/>
        <v>6.7416702809855775E-2</v>
      </c>
      <c r="I232" s="13">
        <v>374.71554565429688</v>
      </c>
      <c r="J232" s="8">
        <f t="shared" si="13"/>
        <v>1.7861535432979001E-2</v>
      </c>
      <c r="K232" s="13">
        <v>412.2198486328125</v>
      </c>
      <c r="L232" s="8">
        <f t="shared" si="14"/>
        <v>0.119736645387115</v>
      </c>
      <c r="M232" s="13">
        <v>374.47689819335938</v>
      </c>
      <c r="N232" s="8">
        <f t="shared" si="15"/>
        <v>1.721328351540009E-2</v>
      </c>
    </row>
    <row r="233" spans="1:14" x14ac:dyDescent="0.25">
      <c r="A233" s="17" t="s">
        <v>21</v>
      </c>
      <c r="B233" s="2">
        <v>43951</v>
      </c>
      <c r="C233" s="3">
        <v>215.5</v>
      </c>
      <c r="D233" s="3">
        <v>155.89159726329191</v>
      </c>
      <c r="E233" s="3">
        <v>70.396047520263139</v>
      </c>
      <c r="F233" s="3">
        <v>246.63962977399291</v>
      </c>
      <c r="G233" t="s">
        <v>3</v>
      </c>
      <c r="H233" s="8">
        <f t="shared" si="12"/>
        <v>0.27660511710769414</v>
      </c>
      <c r="I233" s="13">
        <v>297.31472778320313</v>
      </c>
      <c r="J233" s="8">
        <f t="shared" si="13"/>
        <v>0.37965070897078018</v>
      </c>
      <c r="K233" s="13">
        <v>337.43170166015619</v>
      </c>
      <c r="L233" s="8">
        <f t="shared" si="14"/>
        <v>0.56580836037195448</v>
      </c>
      <c r="M233" s="13">
        <v>297.018798828125</v>
      </c>
      <c r="N233" s="8">
        <f t="shared" si="15"/>
        <v>0.37827748876160094</v>
      </c>
    </row>
    <row r="234" spans="1:14" x14ac:dyDescent="0.25">
      <c r="A234" s="17" t="s">
        <v>21</v>
      </c>
      <c r="B234" s="2">
        <v>43982</v>
      </c>
      <c r="C234" s="3">
        <v>114.45</v>
      </c>
      <c r="D234" s="3">
        <v>133.80824008593399</v>
      </c>
      <c r="E234" s="3">
        <v>133.80824008593399</v>
      </c>
      <c r="F234" s="3">
        <v>319.63482046257758</v>
      </c>
      <c r="G234" t="s">
        <v>3</v>
      </c>
      <c r="H234" s="8">
        <f t="shared" si="12"/>
        <v>0.16914145990331136</v>
      </c>
      <c r="I234" s="13">
        <v>196.30311584472659</v>
      </c>
      <c r="J234" s="8">
        <f t="shared" si="13"/>
        <v>0.71518668278485442</v>
      </c>
      <c r="K234" s="13">
        <v>198.05609130859381</v>
      </c>
      <c r="L234" s="8">
        <f t="shared" si="14"/>
        <v>0.73050320059933427</v>
      </c>
      <c r="M234" s="13">
        <v>167.90235900878909</v>
      </c>
      <c r="N234" s="8">
        <f t="shared" si="15"/>
        <v>0.46703677596145993</v>
      </c>
    </row>
    <row r="235" spans="1:14" x14ac:dyDescent="0.25">
      <c r="A235" s="17" t="s">
        <v>21</v>
      </c>
      <c r="B235" s="2">
        <v>44012</v>
      </c>
      <c r="C235" s="3">
        <v>80.209999999999994</v>
      </c>
      <c r="D235" s="3">
        <v>110.29472118041841</v>
      </c>
      <c r="E235" s="3">
        <v>25.009055868537018</v>
      </c>
      <c r="F235" s="3">
        <v>210.3323344967375</v>
      </c>
      <c r="G235" t="s">
        <v>3</v>
      </c>
      <c r="H235" s="8">
        <f t="shared" si="12"/>
        <v>0.37507444433884074</v>
      </c>
      <c r="I235" s="13">
        <v>122.70098876953119</v>
      </c>
      <c r="J235" s="8">
        <f t="shared" si="13"/>
        <v>0.52974677433650674</v>
      </c>
      <c r="K235" s="13">
        <v>126.93711853027339</v>
      </c>
      <c r="L235" s="8">
        <f t="shared" si="14"/>
        <v>0.58255976225250472</v>
      </c>
      <c r="M235" s="13">
        <v>107.9222412109375</v>
      </c>
      <c r="N235" s="8">
        <f t="shared" si="15"/>
        <v>0.3454960879059657</v>
      </c>
    </row>
    <row r="236" spans="1:14" x14ac:dyDescent="0.25">
      <c r="A236" s="17" t="s">
        <v>21</v>
      </c>
      <c r="B236" s="2">
        <v>44043</v>
      </c>
      <c r="C236" s="3">
        <v>97.56</v>
      </c>
      <c r="D236" s="3">
        <v>93.956670551152598</v>
      </c>
      <c r="E236" s="3">
        <v>8.54451489271292</v>
      </c>
      <c r="F236" s="3">
        <v>183.03833438330261</v>
      </c>
      <c r="G236" t="s">
        <v>3</v>
      </c>
      <c r="H236" s="8">
        <f t="shared" si="12"/>
        <v>3.6934496195647849E-2</v>
      </c>
      <c r="I236" s="13">
        <v>95.522926330566406</v>
      </c>
      <c r="J236" s="8">
        <f t="shared" si="13"/>
        <v>2.0880213913833497E-2</v>
      </c>
      <c r="K236" s="13">
        <v>86.922012329101563</v>
      </c>
      <c r="L236" s="8">
        <f t="shared" si="14"/>
        <v>0.10904046403134932</v>
      </c>
      <c r="M236" s="13">
        <v>84.359031677246094</v>
      </c>
      <c r="N236" s="8">
        <f t="shared" si="15"/>
        <v>0.13531127842101176</v>
      </c>
    </row>
    <row r="237" spans="1:14" x14ac:dyDescent="0.25">
      <c r="A237" s="17" t="s">
        <v>21</v>
      </c>
      <c r="B237" s="2">
        <v>44074</v>
      </c>
      <c r="C237" s="3">
        <v>37.299999999999997</v>
      </c>
      <c r="D237" s="3">
        <v>72.841831469367847</v>
      </c>
      <c r="E237" s="3">
        <v>-11.10949957504565</v>
      </c>
      <c r="F237" s="3">
        <v>161.34442658397739</v>
      </c>
      <c r="G237" t="s">
        <v>3</v>
      </c>
      <c r="H237" s="8">
        <f t="shared" si="12"/>
        <v>0.95286411446026409</v>
      </c>
      <c r="I237" s="13">
        <v>89.240890502929688</v>
      </c>
      <c r="J237" s="8">
        <f t="shared" si="13"/>
        <v>1.3925171716603135</v>
      </c>
      <c r="K237" s="13">
        <v>83.841201782226563</v>
      </c>
      <c r="L237" s="8">
        <f t="shared" si="14"/>
        <v>1.2477533989873075</v>
      </c>
      <c r="M237" s="13">
        <v>75.83660888671875</v>
      </c>
      <c r="N237" s="8">
        <f t="shared" si="15"/>
        <v>1.0331530532632374</v>
      </c>
    </row>
    <row r="238" spans="1:14" x14ac:dyDescent="0.25">
      <c r="A238" s="17" t="s">
        <v>21</v>
      </c>
      <c r="B238" s="2">
        <v>44104</v>
      </c>
      <c r="C238" s="3">
        <v>52.72</v>
      </c>
      <c r="D238" s="3">
        <v>37.717396424599777</v>
      </c>
      <c r="E238" s="3">
        <v>7.7173964245997748</v>
      </c>
      <c r="F238" s="3">
        <v>190.4887619733351</v>
      </c>
      <c r="G238" t="s">
        <v>3</v>
      </c>
      <c r="H238" s="8">
        <f t="shared" si="12"/>
        <v>0.28457138800076293</v>
      </c>
      <c r="I238" s="13">
        <v>80.487358093261719</v>
      </c>
      <c r="J238" s="8">
        <f t="shared" si="13"/>
        <v>0.52669495624548024</v>
      </c>
      <c r="K238" s="13">
        <v>91.643234252929688</v>
      </c>
      <c r="L238" s="8">
        <f t="shared" si="14"/>
        <v>0.7383011049493492</v>
      </c>
      <c r="M238" s="13">
        <v>76.825042724609375</v>
      </c>
      <c r="N238" s="8">
        <f t="shared" si="15"/>
        <v>0.45722766928318243</v>
      </c>
    </row>
    <row r="239" spans="1:14" x14ac:dyDescent="0.25">
      <c r="A239" s="17" t="s">
        <v>21</v>
      </c>
      <c r="B239" s="2">
        <v>44135</v>
      </c>
      <c r="C239" s="3">
        <v>72.05</v>
      </c>
      <c r="D239" s="3">
        <v>51.893650568442069</v>
      </c>
      <c r="E239" s="3">
        <v>-37.344002607132687</v>
      </c>
      <c r="F239" s="3">
        <v>142.51546851020041</v>
      </c>
      <c r="G239" t="s">
        <v>3</v>
      </c>
      <c r="H239" s="8">
        <f t="shared" si="12"/>
        <v>0.27975502333876373</v>
      </c>
      <c r="I239" s="13">
        <v>54.696796417236328</v>
      </c>
      <c r="J239" s="8">
        <f t="shared" si="13"/>
        <v>0.24084945985792741</v>
      </c>
      <c r="K239" s="13">
        <v>58.729862213134773</v>
      </c>
      <c r="L239" s="8">
        <f t="shared" si="14"/>
        <v>0.18487352931110651</v>
      </c>
      <c r="M239" s="13">
        <v>66.472236633300781</v>
      </c>
      <c r="N239" s="8">
        <f t="shared" si="15"/>
        <v>7.7415175110329165E-2</v>
      </c>
    </row>
    <row r="240" spans="1:14" x14ac:dyDescent="0.25">
      <c r="A240" s="17" t="s">
        <v>21</v>
      </c>
      <c r="B240" s="2">
        <v>44165</v>
      </c>
      <c r="C240" s="3">
        <v>44.02</v>
      </c>
      <c r="D240" s="3">
        <v>18.52958465437473</v>
      </c>
      <c r="E240" s="3">
        <v>-73.260642910204822</v>
      </c>
      <c r="F240" s="3">
        <v>111.1354385650237</v>
      </c>
      <c r="G240" t="s">
        <v>3</v>
      </c>
      <c r="H240" s="8">
        <f t="shared" si="12"/>
        <v>0.57906441039584899</v>
      </c>
      <c r="I240" s="13">
        <v>33.803882598876953</v>
      </c>
      <c r="J240" s="8">
        <f t="shared" si="13"/>
        <v>0.23207899593646181</v>
      </c>
      <c r="K240" s="13">
        <v>30.341424942016602</v>
      </c>
      <c r="L240" s="8">
        <f t="shared" si="14"/>
        <v>0.31073546247122674</v>
      </c>
      <c r="M240" s="13">
        <v>41.841411590576172</v>
      </c>
      <c r="N240" s="8">
        <f t="shared" si="15"/>
        <v>4.9490877088228788E-2</v>
      </c>
    </row>
    <row r="241" spans="1:14" x14ac:dyDescent="0.25">
      <c r="A241" s="17" t="s">
        <v>21</v>
      </c>
      <c r="B241" s="2">
        <v>44196</v>
      </c>
      <c r="C241" s="3">
        <v>136.97</v>
      </c>
      <c r="D241" s="3">
        <v>156.136177515767</v>
      </c>
      <c r="E241" s="3">
        <v>-23.433799553184301</v>
      </c>
      <c r="F241" s="3">
        <v>156.136177515767</v>
      </c>
      <c r="G241" t="s">
        <v>3</v>
      </c>
      <c r="H241" s="8">
        <f t="shared" si="12"/>
        <v>0.13992974750505222</v>
      </c>
      <c r="I241" s="13">
        <v>80.889755249023438</v>
      </c>
      <c r="J241" s="8">
        <f t="shared" si="13"/>
        <v>0.40943450938874615</v>
      </c>
      <c r="K241" s="13">
        <v>69.93133544921875</v>
      </c>
      <c r="L241" s="8">
        <f t="shared" si="14"/>
        <v>0.48944049463956524</v>
      </c>
      <c r="M241" s="13">
        <v>89.414260864257813</v>
      </c>
      <c r="N241" s="8">
        <f t="shared" si="15"/>
        <v>0.34719821227817904</v>
      </c>
    </row>
    <row r="242" spans="1:14" x14ac:dyDescent="0.25">
      <c r="A242" s="17" t="s">
        <v>21</v>
      </c>
      <c r="B242" s="2">
        <v>44227</v>
      </c>
      <c r="C242" s="3">
        <v>337.11</v>
      </c>
      <c r="D242" s="3">
        <v>285.72034132396777</v>
      </c>
      <c r="E242" s="3">
        <v>191.95035770071601</v>
      </c>
      <c r="F242" s="3">
        <v>370.99252283305009</v>
      </c>
      <c r="G242" t="s">
        <v>3</v>
      </c>
      <c r="H242" s="8">
        <f t="shared" si="12"/>
        <v>0.1524418103172028</v>
      </c>
      <c r="I242" s="13">
        <v>275.89852905273438</v>
      </c>
      <c r="J242" s="8">
        <f t="shared" si="13"/>
        <v>0.18157714380251441</v>
      </c>
      <c r="K242" s="13">
        <v>269.32672119140619</v>
      </c>
      <c r="L242" s="8">
        <f t="shared" si="14"/>
        <v>0.20107169413127413</v>
      </c>
      <c r="M242" s="13">
        <v>302.105712890625</v>
      </c>
      <c r="N242" s="8">
        <f t="shared" si="15"/>
        <v>0.10383639497308005</v>
      </c>
    </row>
    <row r="243" spans="1:14" x14ac:dyDescent="0.25">
      <c r="A243" s="17" t="s">
        <v>21</v>
      </c>
      <c r="B243" s="2">
        <v>44255</v>
      </c>
      <c r="C243" s="3">
        <v>201.35</v>
      </c>
      <c r="D243" s="3">
        <v>206.0534285215389</v>
      </c>
      <c r="E243" s="3">
        <v>114.5446265661143</v>
      </c>
      <c r="F243" s="3">
        <v>290.82063094849917</v>
      </c>
      <c r="G243" t="s">
        <v>3</v>
      </c>
      <c r="H243" s="8">
        <f t="shared" si="12"/>
        <v>2.3359466210771843E-2</v>
      </c>
      <c r="I243" s="13">
        <v>422.34115600585938</v>
      </c>
      <c r="J243" s="8">
        <f t="shared" si="13"/>
        <v>1.0975473355145735</v>
      </c>
      <c r="K243" s="13">
        <v>440.81204223632813</v>
      </c>
      <c r="L243" s="8">
        <f t="shared" si="14"/>
        <v>1.1892825539425287</v>
      </c>
      <c r="M243" s="13">
        <v>332.70541381835938</v>
      </c>
      <c r="N243" s="8">
        <f t="shared" si="15"/>
        <v>0.65237354764519184</v>
      </c>
    </row>
    <row r="244" spans="1:14" x14ac:dyDescent="0.25">
      <c r="A244" s="17" t="s">
        <v>21</v>
      </c>
      <c r="B244" s="2">
        <v>44286</v>
      </c>
      <c r="C244" s="3">
        <v>562.65</v>
      </c>
      <c r="D244" s="3">
        <v>404.4640225754718</v>
      </c>
      <c r="E244" s="3">
        <v>326.8700704430463</v>
      </c>
      <c r="F244" s="3">
        <v>499.27160374959908</v>
      </c>
      <c r="G244" t="s">
        <v>3</v>
      </c>
      <c r="H244" s="8">
        <f t="shared" si="12"/>
        <v>0.28114454354310525</v>
      </c>
      <c r="I244" s="13">
        <v>349.80126953125</v>
      </c>
      <c r="J244" s="8">
        <f t="shared" si="13"/>
        <v>0.37829686389185102</v>
      </c>
      <c r="K244" s="13">
        <v>381.09112548828119</v>
      </c>
      <c r="L244" s="8">
        <f t="shared" si="14"/>
        <v>0.32268528305646277</v>
      </c>
      <c r="M244" s="13">
        <v>439.23733520507813</v>
      </c>
      <c r="N244" s="8">
        <f t="shared" si="15"/>
        <v>0.21934180182159754</v>
      </c>
    </row>
    <row r="245" spans="1:14" x14ac:dyDescent="0.25">
      <c r="A245" s="17" t="s">
        <v>21</v>
      </c>
      <c r="B245" s="2">
        <v>44316</v>
      </c>
      <c r="C245" s="3">
        <v>298.63</v>
      </c>
      <c r="D245" s="3">
        <v>361.91846682210149</v>
      </c>
      <c r="E245" s="3">
        <v>270.88505987851971</v>
      </c>
      <c r="F245" s="3">
        <v>454.82774281058869</v>
      </c>
      <c r="G245" t="s">
        <v>3</v>
      </c>
      <c r="H245" s="8">
        <f t="shared" si="12"/>
        <v>0.21192936684894853</v>
      </c>
      <c r="I245" s="13">
        <v>301.0152587890625</v>
      </c>
      <c r="J245" s="8">
        <f t="shared" si="13"/>
        <v>7.9873381410524875E-3</v>
      </c>
      <c r="K245" s="13">
        <v>366.07608032226563</v>
      </c>
      <c r="L245" s="8">
        <f t="shared" si="14"/>
        <v>0.22585165697440188</v>
      </c>
      <c r="M245" s="13">
        <v>342.31463623046881</v>
      </c>
      <c r="N245" s="8">
        <f t="shared" si="15"/>
        <v>0.14628348200270841</v>
      </c>
    </row>
    <row r="246" spans="1:14" x14ac:dyDescent="0.25">
      <c r="A246" s="17" t="s">
        <v>21</v>
      </c>
      <c r="B246" s="2">
        <v>44347</v>
      </c>
      <c r="C246" s="3">
        <v>136.5</v>
      </c>
      <c r="D246" s="3">
        <v>197.55496196490989</v>
      </c>
      <c r="E246" s="3">
        <v>106.6311886884646</v>
      </c>
      <c r="F246" s="3">
        <v>286.4591300824676</v>
      </c>
      <c r="G246" t="s">
        <v>3</v>
      </c>
      <c r="H246" s="8">
        <f t="shared" ref="H246:H299" si="16">IFERROR(ABS((C246-D246)/C246),0)</f>
        <v>0.44728909864402849</v>
      </c>
      <c r="I246" s="13">
        <v>185.1051330566406</v>
      </c>
      <c r="J246" s="8">
        <f t="shared" si="13"/>
        <v>0.35608156085450987</v>
      </c>
      <c r="K246" s="13">
        <v>198.04566955566409</v>
      </c>
      <c r="L246" s="8">
        <f t="shared" si="14"/>
        <v>0.45088402604882116</v>
      </c>
      <c r="M246" s="13">
        <v>177.0388488769531</v>
      </c>
      <c r="N246" s="8">
        <f t="shared" si="15"/>
        <v>0.29698790386046225</v>
      </c>
    </row>
    <row r="247" spans="1:14" x14ac:dyDescent="0.25">
      <c r="A247" s="17" t="s">
        <v>21</v>
      </c>
      <c r="B247" s="2">
        <v>44377</v>
      </c>
      <c r="C247" s="3">
        <v>95.33</v>
      </c>
      <c r="D247" s="3">
        <v>112.4228586734541</v>
      </c>
      <c r="E247" s="3">
        <v>24.875204397833581</v>
      </c>
      <c r="F247" s="3">
        <v>195.29701159310309</v>
      </c>
      <c r="G247" t="s">
        <v>3</v>
      </c>
      <c r="H247" s="8">
        <f t="shared" si="16"/>
        <v>0.17930198965125463</v>
      </c>
      <c r="I247" s="13">
        <v>122.600341796875</v>
      </c>
      <c r="J247" s="8">
        <f t="shared" si="13"/>
        <v>0.28606253851751812</v>
      </c>
      <c r="K247" s="13">
        <v>129.11109924316409</v>
      </c>
      <c r="L247" s="8">
        <f t="shared" si="14"/>
        <v>0.35435958505364623</v>
      </c>
      <c r="M247" s="13">
        <v>129.14060974121091</v>
      </c>
      <c r="N247" s="8">
        <f t="shared" si="15"/>
        <v>0.35466914655628773</v>
      </c>
    </row>
    <row r="248" spans="1:14" x14ac:dyDescent="0.25">
      <c r="A248" s="17" t="s">
        <v>21</v>
      </c>
      <c r="B248" s="2">
        <v>44408</v>
      </c>
      <c r="C248" s="3">
        <v>29.84</v>
      </c>
      <c r="D248" s="3">
        <v>86.214767034686005</v>
      </c>
      <c r="E248" s="3">
        <v>3.6441084841026612</v>
      </c>
      <c r="F248" s="3">
        <v>179.95797837140631</v>
      </c>
      <c r="G248" t="s">
        <v>3</v>
      </c>
      <c r="H248" s="8">
        <f t="shared" si="16"/>
        <v>1.889234820197252</v>
      </c>
      <c r="I248" s="13">
        <v>94.84796142578125</v>
      </c>
      <c r="J248" s="8">
        <f t="shared" si="13"/>
        <v>2.1785509861186747</v>
      </c>
      <c r="K248" s="13">
        <v>88.977226257324219</v>
      </c>
      <c r="L248" s="8">
        <f t="shared" si="14"/>
        <v>1.9818105314116694</v>
      </c>
      <c r="M248" s="13">
        <v>76.541961669921875</v>
      </c>
      <c r="N248" s="8">
        <f t="shared" si="15"/>
        <v>1.565079144434379</v>
      </c>
    </row>
    <row r="249" spans="1:14" x14ac:dyDescent="0.25">
      <c r="A249" s="17" t="s">
        <v>21</v>
      </c>
      <c r="B249" s="2">
        <v>44439</v>
      </c>
      <c r="C249" s="3">
        <v>83.07</v>
      </c>
      <c r="D249" s="3">
        <v>67.853718950643554</v>
      </c>
      <c r="E249" s="3">
        <v>-29.178599674228881</v>
      </c>
      <c r="F249" s="3">
        <v>157.25280788785679</v>
      </c>
      <c r="G249" t="s">
        <v>3</v>
      </c>
      <c r="H249" s="8">
        <f t="shared" si="16"/>
        <v>0.1831742030739911</v>
      </c>
      <c r="I249" s="13">
        <v>88.485771179199219</v>
      </c>
      <c r="J249" s="8">
        <f t="shared" si="13"/>
        <v>6.5195271207406119E-2</v>
      </c>
      <c r="K249" s="13">
        <v>79.811393737792969</v>
      </c>
      <c r="L249" s="8">
        <f t="shared" si="14"/>
        <v>3.9227233203407062E-2</v>
      </c>
      <c r="M249" s="13">
        <v>75.201187133789063</v>
      </c>
      <c r="N249" s="8">
        <f t="shared" si="15"/>
        <v>9.4725085665233313E-2</v>
      </c>
    </row>
    <row r="250" spans="1:14" x14ac:dyDescent="0.25">
      <c r="A250" s="17" t="s">
        <v>21</v>
      </c>
      <c r="B250" s="2">
        <v>44469</v>
      </c>
      <c r="C250" s="3">
        <v>146.91999999999999</v>
      </c>
      <c r="D250" s="3">
        <v>105.5866734264465</v>
      </c>
      <c r="E250" s="3">
        <v>18.445833107803139</v>
      </c>
      <c r="F250" s="3">
        <v>201.5722754296122</v>
      </c>
      <c r="G250" t="s">
        <v>3</v>
      </c>
      <c r="H250" s="8">
        <f t="shared" si="16"/>
        <v>0.28133219829535461</v>
      </c>
      <c r="I250" s="13">
        <v>85.195198059082031</v>
      </c>
      <c r="J250" s="8">
        <f t="shared" si="13"/>
        <v>0.42012525143559737</v>
      </c>
      <c r="K250" s="13">
        <v>94.902595520019531</v>
      </c>
      <c r="L250" s="8">
        <f t="shared" si="14"/>
        <v>0.35405257609570145</v>
      </c>
      <c r="M250" s="13">
        <v>79.485145568847656</v>
      </c>
      <c r="N250" s="8">
        <f t="shared" si="15"/>
        <v>0.45899029697217764</v>
      </c>
    </row>
    <row r="251" spans="1:14" x14ac:dyDescent="0.25">
      <c r="A251" s="17" t="s">
        <v>21</v>
      </c>
      <c r="B251" s="2">
        <v>44500</v>
      </c>
      <c r="C251" s="3">
        <v>43.58</v>
      </c>
      <c r="D251" s="3">
        <v>69.809549733545296</v>
      </c>
      <c r="E251" s="3">
        <v>-15.88096957676596</v>
      </c>
      <c r="F251" s="3">
        <v>162.087038440123</v>
      </c>
      <c r="G251" t="s">
        <v>3</v>
      </c>
      <c r="H251" s="8">
        <f t="shared" si="16"/>
        <v>0.60187126511118172</v>
      </c>
      <c r="I251" s="13">
        <v>67.062156677246094</v>
      </c>
      <c r="J251" s="8">
        <f t="shared" si="13"/>
        <v>0.53882874431496319</v>
      </c>
      <c r="K251" s="13">
        <v>76.944778442382813</v>
      </c>
      <c r="L251" s="8">
        <f t="shared" si="14"/>
        <v>0.76559840390965617</v>
      </c>
      <c r="M251" s="13">
        <v>84.280601501464844</v>
      </c>
      <c r="N251" s="8">
        <f t="shared" si="15"/>
        <v>0.93392844197945957</v>
      </c>
    </row>
    <row r="252" spans="1:14" x14ac:dyDescent="0.25">
      <c r="A252" s="17" t="s">
        <v>21</v>
      </c>
      <c r="B252" s="2">
        <v>44530</v>
      </c>
      <c r="C252" s="3">
        <v>41.07</v>
      </c>
      <c r="D252" s="3">
        <v>32.834619244406753</v>
      </c>
      <c r="E252" s="3">
        <v>-60.675096759490827</v>
      </c>
      <c r="F252" s="3">
        <v>118.1213711226457</v>
      </c>
      <c r="G252" t="s">
        <v>3</v>
      </c>
      <c r="H252" s="8">
        <f t="shared" si="16"/>
        <v>0.20052059302637565</v>
      </c>
      <c r="I252" s="13">
        <v>52.174739837646477</v>
      </c>
      <c r="J252" s="8">
        <f t="shared" si="13"/>
        <v>0.27038567902718474</v>
      </c>
      <c r="K252" s="13">
        <v>49.650241851806641</v>
      </c>
      <c r="L252" s="8">
        <f t="shared" si="14"/>
        <v>0.20891750308757343</v>
      </c>
      <c r="M252" s="13">
        <v>62.046108245849609</v>
      </c>
      <c r="N252" s="8">
        <f t="shared" si="15"/>
        <v>0.51074040043461433</v>
      </c>
    </row>
    <row r="253" spans="1:14" x14ac:dyDescent="0.25">
      <c r="A253" s="17" t="s">
        <v>21</v>
      </c>
      <c r="B253" s="2">
        <v>44561</v>
      </c>
      <c r="C253" s="3">
        <v>33.96</v>
      </c>
      <c r="D253" s="3">
        <v>75.87832534840247</v>
      </c>
      <c r="E253" s="3">
        <v>-9.8315901480227872</v>
      </c>
      <c r="F253" s="3">
        <v>162.1979023014876</v>
      </c>
      <c r="G253" t="s">
        <v>3</v>
      </c>
      <c r="H253" s="8">
        <f t="shared" si="16"/>
        <v>1.2343440915312858</v>
      </c>
      <c r="I253" s="13">
        <v>76.722068786621094</v>
      </c>
      <c r="J253" s="8">
        <f t="shared" si="13"/>
        <v>1.2591893046708214</v>
      </c>
      <c r="K253" s="13">
        <v>72.89227294921875</v>
      </c>
      <c r="L253" s="8">
        <f t="shared" si="14"/>
        <v>1.1464155756542622</v>
      </c>
      <c r="M253" s="13">
        <v>74.574928283691406</v>
      </c>
      <c r="N253" s="8">
        <f t="shared" si="15"/>
        <v>1.1959637303796056</v>
      </c>
    </row>
    <row r="254" spans="1:14" x14ac:dyDescent="0.25">
      <c r="A254" s="17" t="s">
        <v>21</v>
      </c>
      <c r="B254" s="2">
        <v>44592</v>
      </c>
      <c r="C254" s="3">
        <v>246.29</v>
      </c>
      <c r="D254" s="3">
        <v>243.52642233189641</v>
      </c>
      <c r="E254" s="3">
        <v>155.08366893194309</v>
      </c>
      <c r="F254" s="3">
        <v>332.81639656400489</v>
      </c>
      <c r="G254" t="s">
        <v>3</v>
      </c>
      <c r="H254" s="8">
        <f t="shared" si="16"/>
        <v>1.1220827756318079E-2</v>
      </c>
      <c r="I254" s="13">
        <v>226.5089416503906</v>
      </c>
      <c r="J254" s="8">
        <f t="shared" si="13"/>
        <v>8.0316124688819671E-2</v>
      </c>
      <c r="K254" s="13">
        <v>227.46507263183591</v>
      </c>
      <c r="L254" s="8">
        <f t="shared" si="14"/>
        <v>7.6433989882512821E-2</v>
      </c>
      <c r="M254" s="13">
        <v>290.09011840820313</v>
      </c>
      <c r="N254" s="8">
        <f t="shared" si="15"/>
        <v>0.17783961349710964</v>
      </c>
    </row>
    <row r="255" spans="1:14" x14ac:dyDescent="0.25">
      <c r="A255" s="17" t="s">
        <v>21</v>
      </c>
      <c r="B255" s="2">
        <v>44620</v>
      </c>
      <c r="C255" s="3">
        <v>279.51</v>
      </c>
      <c r="D255" s="3">
        <v>366.58695993318332</v>
      </c>
      <c r="E255" s="3">
        <v>273.14274025271322</v>
      </c>
      <c r="F255" s="3">
        <v>455.06652370247008</v>
      </c>
      <c r="G255" t="s">
        <v>3</v>
      </c>
      <c r="H255" s="8">
        <f t="shared" si="16"/>
        <v>0.31153432769197287</v>
      </c>
      <c r="I255" s="13">
        <v>358.22882080078119</v>
      </c>
      <c r="J255" s="8">
        <f t="shared" si="13"/>
        <v>0.28163150084355193</v>
      </c>
      <c r="K255" s="13">
        <v>382.89871215820313</v>
      </c>
      <c r="L255" s="8">
        <f t="shared" si="14"/>
        <v>0.36989271281243297</v>
      </c>
      <c r="M255" s="13">
        <v>378.23348999023438</v>
      </c>
      <c r="N255" s="8">
        <f t="shared" si="15"/>
        <v>0.35320199631581833</v>
      </c>
    </row>
    <row r="256" spans="1:14" x14ac:dyDescent="0.25">
      <c r="A256" s="17" t="s">
        <v>21</v>
      </c>
      <c r="B256" s="2">
        <v>44651</v>
      </c>
      <c r="C256" s="3">
        <v>557.61</v>
      </c>
      <c r="D256" s="3">
        <v>406.39229122681968</v>
      </c>
      <c r="E256" s="3">
        <v>313.05840285758251</v>
      </c>
      <c r="F256" s="3">
        <v>489.17395116482379</v>
      </c>
      <c r="G256" t="s">
        <v>3</v>
      </c>
      <c r="H256" s="8">
        <f t="shared" si="16"/>
        <v>0.27118901880020146</v>
      </c>
      <c r="I256" s="13">
        <v>346.8997802734375</v>
      </c>
      <c r="J256" s="8">
        <f t="shared" si="13"/>
        <v>0.37788099160087246</v>
      </c>
      <c r="K256" s="13">
        <v>388.655029296875</v>
      </c>
      <c r="L256" s="8">
        <f t="shared" si="14"/>
        <v>0.30299845896437477</v>
      </c>
      <c r="M256" s="13">
        <v>412.79751586914063</v>
      </c>
      <c r="N256" s="8">
        <f t="shared" si="15"/>
        <v>0.25970209309528053</v>
      </c>
    </row>
    <row r="257" spans="1:14" x14ac:dyDescent="0.25">
      <c r="A257" s="17" t="s">
        <v>21</v>
      </c>
      <c r="B257" s="2">
        <v>44681</v>
      </c>
      <c r="C257" s="3">
        <v>231.87</v>
      </c>
      <c r="D257" s="3">
        <v>157.9592286190655</v>
      </c>
      <c r="E257" s="3">
        <v>69.108400135297913</v>
      </c>
      <c r="F257" s="3">
        <v>250.4585969955601</v>
      </c>
      <c r="G257" t="s">
        <v>3</v>
      </c>
      <c r="H257" s="8">
        <f t="shared" si="16"/>
        <v>0.31875952637656663</v>
      </c>
      <c r="I257" s="13">
        <v>320.20635986328119</v>
      </c>
      <c r="J257" s="8">
        <f t="shared" si="13"/>
        <v>0.38097364843783665</v>
      </c>
      <c r="K257" s="13">
        <v>388.12197875976563</v>
      </c>
      <c r="L257" s="8">
        <f t="shared" si="14"/>
        <v>0.67387751222566794</v>
      </c>
      <c r="M257" s="13">
        <v>319.61724853515619</v>
      </c>
      <c r="N257" s="8">
        <f t="shared" si="15"/>
        <v>0.37843295180556424</v>
      </c>
    </row>
    <row r="258" spans="1:14" x14ac:dyDescent="0.25">
      <c r="A258" s="17" t="s">
        <v>21</v>
      </c>
      <c r="B258" s="2">
        <v>44712</v>
      </c>
      <c r="C258" s="3">
        <v>181.43</v>
      </c>
      <c r="D258" s="3">
        <v>216.25725360156221</v>
      </c>
      <c r="E258" s="3">
        <v>121.9003201423328</v>
      </c>
      <c r="F258" s="3">
        <v>304.64281531139181</v>
      </c>
      <c r="G258" t="s">
        <v>3</v>
      </c>
      <c r="H258" s="8">
        <f t="shared" si="16"/>
        <v>0.19195972882964341</v>
      </c>
      <c r="I258" s="13">
        <v>189.9035949707031</v>
      </c>
      <c r="J258" s="8">
        <f t="shared" ref="J258:J299" si="17">IFERROR(ABS((C258-I258)/C258),0)</f>
        <v>4.6704486417368074E-2</v>
      </c>
      <c r="K258" s="13">
        <v>195.19422912597659</v>
      </c>
      <c r="L258" s="8">
        <f t="shared" si="14"/>
        <v>7.5865232464182239E-2</v>
      </c>
      <c r="M258" s="13">
        <v>186.5977783203125</v>
      </c>
      <c r="N258" s="8">
        <f t="shared" si="15"/>
        <v>2.8483593233271747E-2</v>
      </c>
    </row>
    <row r="259" spans="1:14" x14ac:dyDescent="0.25">
      <c r="A259" s="17" t="s">
        <v>21</v>
      </c>
      <c r="B259" s="2">
        <v>44742</v>
      </c>
      <c r="C259" s="3">
        <v>61.34</v>
      </c>
      <c r="D259" s="3">
        <v>147.12376642982659</v>
      </c>
      <c r="E259" s="3">
        <v>57.343297154582118</v>
      </c>
      <c r="F259" s="3">
        <v>239.432002321341</v>
      </c>
      <c r="G259" t="s">
        <v>3</v>
      </c>
      <c r="H259" s="8">
        <f t="shared" si="16"/>
        <v>1.3984963552302996</v>
      </c>
      <c r="I259" s="13">
        <v>127.8605651855469</v>
      </c>
      <c r="J259" s="8">
        <f t="shared" si="17"/>
        <v>1.0844565566603668</v>
      </c>
      <c r="K259" s="13">
        <v>132.11302185058591</v>
      </c>
      <c r="L259" s="8">
        <f t="shared" ref="L259:L299" si="18">IFERROR(ABS((C259-K259)/C259),0)</f>
        <v>1.1537825538080519</v>
      </c>
      <c r="M259" s="13">
        <v>118.9606628417969</v>
      </c>
      <c r="N259" s="8">
        <f t="shared" ref="N259:N299" si="19">IFERROR(ABS((C259-M259)/C259),0)</f>
        <v>0.93936522402668565</v>
      </c>
    </row>
    <row r="260" spans="1:14" x14ac:dyDescent="0.25">
      <c r="A260" s="17" t="s">
        <v>21</v>
      </c>
      <c r="B260" s="2">
        <v>44773</v>
      </c>
      <c r="C260" s="3">
        <v>70.59</v>
      </c>
      <c r="D260" s="3">
        <v>99.47746013023631</v>
      </c>
      <c r="E260" s="3">
        <v>5.7506265566807384</v>
      </c>
      <c r="F260" s="3">
        <v>189.1844665865984</v>
      </c>
      <c r="G260" t="s">
        <v>3</v>
      </c>
      <c r="H260" s="8">
        <f t="shared" si="16"/>
        <v>0.40922878779198618</v>
      </c>
      <c r="I260" s="13">
        <v>97.639839172363281</v>
      </c>
      <c r="J260" s="8">
        <f t="shared" si="17"/>
        <v>0.38319647502993731</v>
      </c>
      <c r="K260" s="13">
        <v>89.402130126953125</v>
      </c>
      <c r="L260" s="8">
        <f t="shared" si="18"/>
        <v>0.26649851433564414</v>
      </c>
      <c r="M260" s="13">
        <v>91.7569580078125</v>
      </c>
      <c r="N260" s="8">
        <f t="shared" si="19"/>
        <v>0.29985774200046034</v>
      </c>
    </row>
    <row r="261" spans="1:14" x14ac:dyDescent="0.25">
      <c r="A261" s="17" t="s">
        <v>21</v>
      </c>
      <c r="B261" s="2">
        <v>44804</v>
      </c>
      <c r="C261" s="3">
        <v>51.61</v>
      </c>
      <c r="D261" s="3">
        <v>38.699952487735942</v>
      </c>
      <c r="E261" s="3">
        <v>-53.448854945594157</v>
      </c>
      <c r="F261" s="3">
        <v>132.50727591768739</v>
      </c>
      <c r="G261" t="s">
        <v>3</v>
      </c>
      <c r="H261" s="8">
        <f t="shared" si="16"/>
        <v>0.2501462412761879</v>
      </c>
      <c r="I261" s="13">
        <v>91.106193542480469</v>
      </c>
      <c r="J261" s="8">
        <f t="shared" si="17"/>
        <v>0.76528179698663956</v>
      </c>
      <c r="K261" s="13">
        <v>82.592643737792969</v>
      </c>
      <c r="L261" s="8">
        <f t="shared" si="18"/>
        <v>0.60032249055983278</v>
      </c>
      <c r="M261" s="13">
        <v>72.904464721679688</v>
      </c>
      <c r="N261" s="8">
        <f t="shared" si="19"/>
        <v>0.41260346292733363</v>
      </c>
    </row>
    <row r="262" spans="1:14" x14ac:dyDescent="0.25">
      <c r="A262" s="17" t="s">
        <v>21</v>
      </c>
      <c r="B262" s="2">
        <v>44834</v>
      </c>
      <c r="C262" s="3">
        <v>63.88</v>
      </c>
      <c r="D262" s="3">
        <v>75.886296489812281</v>
      </c>
      <c r="E262" s="3">
        <v>-15.568520229511631</v>
      </c>
      <c r="F262" s="3">
        <v>163.47070247931731</v>
      </c>
      <c r="G262" t="s">
        <v>3</v>
      </c>
      <c r="H262" s="8">
        <f t="shared" si="16"/>
        <v>0.18795079038528925</v>
      </c>
      <c r="I262" s="13">
        <v>85.984901428222656</v>
      </c>
      <c r="J262" s="8">
        <f t="shared" si="17"/>
        <v>0.34603790588952182</v>
      </c>
      <c r="K262" s="13">
        <v>95.091079711914063</v>
      </c>
      <c r="L262" s="8">
        <f t="shared" si="18"/>
        <v>0.48858922529608734</v>
      </c>
      <c r="M262" s="13">
        <v>74.639442443847656</v>
      </c>
      <c r="N262" s="8">
        <f t="shared" si="19"/>
        <v>0.16843209836956252</v>
      </c>
    </row>
    <row r="263" spans="1:14" x14ac:dyDescent="0.25">
      <c r="A263" s="17" t="s">
        <v>21</v>
      </c>
      <c r="B263" s="2">
        <v>44865</v>
      </c>
      <c r="C263" s="3">
        <v>48.52</v>
      </c>
      <c r="D263" s="3">
        <v>40.833559219832487</v>
      </c>
      <c r="E263" s="3">
        <v>-45.702812533989849</v>
      </c>
      <c r="F263" s="3">
        <v>133.6467357367778</v>
      </c>
      <c r="G263" t="s">
        <v>3</v>
      </c>
      <c r="H263" s="8">
        <f t="shared" si="16"/>
        <v>0.15841798804961901</v>
      </c>
      <c r="I263" s="13">
        <v>64.244056701660156</v>
      </c>
      <c r="J263" s="8">
        <f t="shared" si="17"/>
        <v>0.32407371602762064</v>
      </c>
      <c r="K263" s="13">
        <v>71.619110107421875</v>
      </c>
      <c r="L263" s="8">
        <f t="shared" si="18"/>
        <v>0.47607399232114322</v>
      </c>
      <c r="M263" s="13">
        <v>67.949356079101563</v>
      </c>
      <c r="N263" s="8">
        <f t="shared" si="19"/>
        <v>0.40044015002270317</v>
      </c>
    </row>
    <row r="264" spans="1:14" x14ac:dyDescent="0.25">
      <c r="A264" s="17" t="s">
        <v>21</v>
      </c>
      <c r="B264" s="2">
        <v>44895</v>
      </c>
      <c r="C264" s="3">
        <v>21.89</v>
      </c>
      <c r="D264" s="3">
        <v>23.647830772146591</v>
      </c>
      <c r="E264" s="3">
        <v>-71.614828480381476</v>
      </c>
      <c r="F264" s="3">
        <v>114.2380506835748</v>
      </c>
      <c r="G264" t="s">
        <v>3</v>
      </c>
      <c r="H264" s="8">
        <f t="shared" si="16"/>
        <v>8.0302913300438122E-2</v>
      </c>
      <c r="I264" s="13">
        <v>46.160808563232422</v>
      </c>
      <c r="J264" s="8">
        <f t="shared" si="17"/>
        <v>1.1087623829708735</v>
      </c>
      <c r="K264" s="13">
        <v>43.517223358154297</v>
      </c>
      <c r="L264" s="8">
        <f t="shared" si="18"/>
        <v>0.98799558511440366</v>
      </c>
      <c r="M264" s="13">
        <v>48.557277679443359</v>
      </c>
      <c r="N264" s="8">
        <f t="shared" si="19"/>
        <v>1.2182401863610488</v>
      </c>
    </row>
    <row r="265" spans="1:14" x14ac:dyDescent="0.25">
      <c r="A265" s="17" t="s">
        <v>21</v>
      </c>
      <c r="B265" s="2">
        <v>44926</v>
      </c>
      <c r="C265" s="3">
        <v>27.23</v>
      </c>
      <c r="D265" s="3">
        <v>93.146364553847931</v>
      </c>
      <c r="E265" s="3">
        <v>-2.2665297807987539</v>
      </c>
      <c r="F265" s="3">
        <v>182.15849292447089</v>
      </c>
      <c r="G265" t="s">
        <v>3</v>
      </c>
      <c r="H265" s="8">
        <f t="shared" si="16"/>
        <v>2.4207258374531007</v>
      </c>
      <c r="I265" s="13">
        <v>75.077201843261719</v>
      </c>
      <c r="J265" s="8">
        <f t="shared" si="17"/>
        <v>1.7571502696754211</v>
      </c>
      <c r="K265" s="13">
        <v>67.602622985839844</v>
      </c>
      <c r="L265" s="8">
        <f t="shared" si="18"/>
        <v>1.4826523314667588</v>
      </c>
      <c r="M265" s="13">
        <v>66.236732482910156</v>
      </c>
      <c r="N265" s="8">
        <f t="shared" si="19"/>
        <v>1.4324910937535862</v>
      </c>
    </row>
    <row r="266" spans="1:14" x14ac:dyDescent="0.25">
      <c r="A266" s="17" t="s">
        <v>22</v>
      </c>
      <c r="B266" s="2">
        <v>44957</v>
      </c>
      <c r="C266" s="3">
        <v>173.26</v>
      </c>
      <c r="D266" s="3">
        <v>243.4094543457031</v>
      </c>
      <c r="E266" s="3">
        <v>157.0718429179673</v>
      </c>
      <c r="F266" s="3">
        <v>332.97460841462453</v>
      </c>
      <c r="G266" t="s">
        <v>3</v>
      </c>
      <c r="H266" s="8">
        <f t="shared" si="16"/>
        <v>0.404879685707625</v>
      </c>
      <c r="I266" s="13">
        <v>219.3338928222656</v>
      </c>
      <c r="J266" s="8">
        <f t="shared" si="17"/>
        <v>0.26592342619338338</v>
      </c>
      <c r="K266" s="13">
        <v>216.58229064941409</v>
      </c>
      <c r="L266" s="8">
        <f t="shared" si="18"/>
        <v>0.25004207924168359</v>
      </c>
      <c r="M266" s="13">
        <v>298.45223999023438</v>
      </c>
      <c r="N266" s="8">
        <f t="shared" si="19"/>
        <v>0.72256862513121545</v>
      </c>
    </row>
    <row r="267" spans="1:14" x14ac:dyDescent="0.25">
      <c r="A267" s="17" t="s">
        <v>22</v>
      </c>
      <c r="B267" s="2">
        <v>44985</v>
      </c>
      <c r="C267" s="3">
        <v>489.02</v>
      </c>
      <c r="D267" s="3">
        <v>459.53418316371238</v>
      </c>
      <c r="E267" s="3">
        <v>275.02175544318482</v>
      </c>
      <c r="F267" s="3">
        <v>459.53418316371238</v>
      </c>
      <c r="G267" t="s">
        <v>3</v>
      </c>
      <c r="H267" s="8">
        <f t="shared" si="16"/>
        <v>6.0295727856299532E-2</v>
      </c>
      <c r="I267" s="13">
        <v>336.93203735351563</v>
      </c>
      <c r="J267" s="8">
        <f t="shared" si="17"/>
        <v>0.31100560845463243</v>
      </c>
      <c r="K267" s="13">
        <v>358.87271118164063</v>
      </c>
      <c r="L267" s="8">
        <f t="shared" si="18"/>
        <v>0.2661389898539106</v>
      </c>
      <c r="M267" s="13">
        <v>308.77359008789063</v>
      </c>
      <c r="N267" s="8">
        <f t="shared" si="19"/>
        <v>0.3685869901274168</v>
      </c>
    </row>
    <row r="268" spans="1:14" x14ac:dyDescent="0.25">
      <c r="A268" s="17" t="s">
        <v>22</v>
      </c>
      <c r="B268" s="2">
        <v>45016</v>
      </c>
      <c r="C268" s="3">
        <v>623.98</v>
      </c>
      <c r="D268" s="3">
        <v>582.80963134765602</v>
      </c>
      <c r="E268" s="3">
        <v>494.35356772075733</v>
      </c>
      <c r="F268" s="3">
        <v>671.28765919937314</v>
      </c>
      <c r="G268" t="s">
        <v>3</v>
      </c>
      <c r="H268" s="8">
        <f t="shared" si="16"/>
        <v>6.5980269643809084E-2</v>
      </c>
      <c r="I268" s="13">
        <v>400.408447265625</v>
      </c>
      <c r="J268" s="8">
        <f t="shared" si="17"/>
        <v>0.35829922871626496</v>
      </c>
      <c r="K268" s="13">
        <v>457.13128662109381</v>
      </c>
      <c r="L268" s="8">
        <f t="shared" si="18"/>
        <v>0.2673943289510981</v>
      </c>
      <c r="M268" s="13">
        <v>419.40621948242188</v>
      </c>
      <c r="N268" s="8">
        <f t="shared" si="19"/>
        <v>0.32785310509564108</v>
      </c>
    </row>
    <row r="269" spans="1:14" x14ac:dyDescent="0.25">
      <c r="A269" s="17" t="s">
        <v>22</v>
      </c>
      <c r="B269" s="2">
        <v>45046</v>
      </c>
      <c r="C269" s="3">
        <v>709.69</v>
      </c>
      <c r="D269" s="3">
        <v>688.56961809392612</v>
      </c>
      <c r="E269" s="3">
        <v>511.63606893001622</v>
      </c>
      <c r="F269" s="3">
        <v>688.56961809392612</v>
      </c>
      <c r="G269" t="s">
        <v>3</v>
      </c>
      <c r="H269" s="8">
        <f t="shared" si="16"/>
        <v>2.9760010576553041E-2</v>
      </c>
      <c r="I269" s="13">
        <v>366.44281005859381</v>
      </c>
      <c r="J269" s="8">
        <f t="shared" si="17"/>
        <v>0.48365792098156407</v>
      </c>
      <c r="K269" s="13">
        <v>429.200927734375</v>
      </c>
      <c r="L269" s="8">
        <f t="shared" si="18"/>
        <v>0.39522759552146014</v>
      </c>
      <c r="M269" s="13">
        <v>416.4232177734375</v>
      </c>
      <c r="N269" s="8">
        <f t="shared" si="19"/>
        <v>0.41323223129332881</v>
      </c>
    </row>
    <row r="270" spans="1:14" x14ac:dyDescent="0.25">
      <c r="A270" s="17" t="s">
        <v>22</v>
      </c>
      <c r="B270" s="2">
        <v>45077</v>
      </c>
      <c r="C270" s="3">
        <v>295.60000000000002</v>
      </c>
      <c r="D270" s="3">
        <v>303.82312627556342</v>
      </c>
      <c r="E270" s="3">
        <v>125.2782309253441</v>
      </c>
      <c r="F270" s="3">
        <v>303.82312627556342</v>
      </c>
      <c r="G270" t="s">
        <v>3</v>
      </c>
      <c r="H270" s="8">
        <f t="shared" si="16"/>
        <v>2.7818424477548721E-2</v>
      </c>
      <c r="I270" s="13">
        <v>292.4139404296875</v>
      </c>
      <c r="J270" s="8">
        <f t="shared" si="17"/>
        <v>1.0778280007823148E-2</v>
      </c>
      <c r="K270" s="13">
        <v>320.15805053710938</v>
      </c>
      <c r="L270" s="8">
        <f t="shared" si="18"/>
        <v>8.3078655402940974E-2</v>
      </c>
      <c r="M270" s="13">
        <v>285.6763916015625</v>
      </c>
      <c r="N270" s="8">
        <f t="shared" si="19"/>
        <v>3.3571070360072806E-2</v>
      </c>
    </row>
    <row r="271" spans="1:14" x14ac:dyDescent="0.25">
      <c r="A271" s="17" t="s">
        <v>22</v>
      </c>
      <c r="B271" s="2">
        <v>45107</v>
      </c>
      <c r="C271" s="3">
        <v>190.36</v>
      </c>
      <c r="D271" s="3">
        <v>153.94123840332031</v>
      </c>
      <c r="E271" s="3">
        <v>63.789603909373142</v>
      </c>
      <c r="F271" s="3">
        <v>236.47899183407989</v>
      </c>
      <c r="G271" t="s">
        <v>3</v>
      </c>
      <c r="H271" s="8">
        <f t="shared" si="16"/>
        <v>0.19131520065496796</v>
      </c>
      <c r="I271" s="13">
        <v>170.0320129394531</v>
      </c>
      <c r="J271" s="8">
        <f t="shared" si="17"/>
        <v>0.10678707218190227</v>
      </c>
      <c r="K271" s="13">
        <v>162.92189025878909</v>
      </c>
      <c r="L271" s="8">
        <f t="shared" si="18"/>
        <v>0.14413800032155349</v>
      </c>
      <c r="M271" s="13">
        <v>166.89033508300781</v>
      </c>
      <c r="N271" s="8">
        <f t="shared" si="19"/>
        <v>0.12329094829266757</v>
      </c>
    </row>
    <row r="272" spans="1:14" x14ac:dyDescent="0.25">
      <c r="A272" s="17" t="s">
        <v>22</v>
      </c>
      <c r="B272" s="2">
        <v>45138</v>
      </c>
      <c r="C272" s="3">
        <v>237.47</v>
      </c>
      <c r="D272" s="3">
        <v>159.06989740244879</v>
      </c>
      <c r="E272" s="3">
        <v>-30.13096055262336</v>
      </c>
      <c r="F272" s="3">
        <v>159.06989740244879</v>
      </c>
      <c r="G272" t="s">
        <v>3</v>
      </c>
      <c r="H272" s="8">
        <f t="shared" si="16"/>
        <v>0.33014739797680215</v>
      </c>
      <c r="I272" s="13">
        <v>112.3856201171875</v>
      </c>
      <c r="J272" s="8">
        <f t="shared" si="17"/>
        <v>0.5267376084676485</v>
      </c>
      <c r="K272" s="13">
        <v>111.4884872436523</v>
      </c>
      <c r="L272" s="8">
        <f t="shared" si="18"/>
        <v>0.53051548724616882</v>
      </c>
      <c r="M272" s="13">
        <v>124.36134338378911</v>
      </c>
      <c r="N272" s="8">
        <f t="shared" si="19"/>
        <v>0.47630714033861493</v>
      </c>
    </row>
    <row r="273" spans="1:14" x14ac:dyDescent="0.25">
      <c r="A273" s="17" t="s">
        <v>22</v>
      </c>
      <c r="B273" s="2">
        <v>45169</v>
      </c>
      <c r="C273" s="3">
        <v>56.17</v>
      </c>
      <c r="D273" s="3">
        <v>38.894294738769531</v>
      </c>
      <c r="E273" s="3">
        <v>-37.392444724657629</v>
      </c>
      <c r="F273" s="3">
        <v>129.26375601519979</v>
      </c>
      <c r="G273" t="s">
        <v>3</v>
      </c>
      <c r="H273" s="8">
        <f t="shared" si="16"/>
        <v>0.30756106927595639</v>
      </c>
      <c r="I273" s="13">
        <v>91.105148315429688</v>
      </c>
      <c r="J273" s="8">
        <f t="shared" si="17"/>
        <v>0.62195385998628605</v>
      </c>
      <c r="K273" s="13">
        <v>82.151008605957031</v>
      </c>
      <c r="L273" s="8">
        <f t="shared" si="18"/>
        <v>0.46254243556982427</v>
      </c>
      <c r="M273" s="13">
        <v>98.998008728027344</v>
      </c>
      <c r="N273" s="8">
        <f t="shared" si="19"/>
        <v>0.76247122535209788</v>
      </c>
    </row>
    <row r="274" spans="1:14" x14ac:dyDescent="0.25">
      <c r="A274" s="17" t="s">
        <v>22</v>
      </c>
      <c r="B274" s="2">
        <v>45199</v>
      </c>
      <c r="C274" s="3">
        <v>116.17</v>
      </c>
      <c r="D274" s="3">
        <v>143.93888064824591</v>
      </c>
      <c r="E274" s="3">
        <v>-37.070989209651188</v>
      </c>
      <c r="F274" s="3">
        <v>143.93888064824591</v>
      </c>
      <c r="G274" t="s">
        <v>3</v>
      </c>
      <c r="H274" s="8">
        <f t="shared" si="16"/>
        <v>0.23903658989623749</v>
      </c>
      <c r="I274" s="13">
        <v>88.495674133300781</v>
      </c>
      <c r="J274" s="8">
        <f t="shared" si="17"/>
        <v>0.23822265530428871</v>
      </c>
      <c r="K274" s="13">
        <v>81.137771606445313</v>
      </c>
      <c r="L274" s="8">
        <f t="shared" si="18"/>
        <v>0.30156002749035626</v>
      </c>
      <c r="M274" s="13">
        <v>93.866592407226563</v>
      </c>
      <c r="N274" s="8">
        <f t="shared" si="19"/>
        <v>0.19198939134693499</v>
      </c>
    </row>
    <row r="275" spans="1:14" x14ac:dyDescent="0.25">
      <c r="A275" s="17" t="s">
        <v>22</v>
      </c>
      <c r="B275" s="2">
        <v>45230</v>
      </c>
      <c r="C275" s="3">
        <v>153.21</v>
      </c>
      <c r="D275" s="3">
        <v>145.3365618764997</v>
      </c>
      <c r="E275" s="3">
        <v>-28.572275907464689</v>
      </c>
      <c r="F275" s="3">
        <v>145.3365618764997</v>
      </c>
      <c r="G275" t="s">
        <v>3</v>
      </c>
      <c r="H275" s="8">
        <f t="shared" si="16"/>
        <v>5.1389844811045665E-2</v>
      </c>
      <c r="I275" s="13">
        <v>89.985580444335938</v>
      </c>
      <c r="J275" s="8">
        <f t="shared" si="17"/>
        <v>0.41266509728910689</v>
      </c>
      <c r="K275" s="13">
        <v>100.9824676513672</v>
      </c>
      <c r="L275" s="8">
        <f t="shared" si="18"/>
        <v>0.34088853435567396</v>
      </c>
      <c r="M275" s="13">
        <v>97.976104736328125</v>
      </c>
      <c r="N275" s="8">
        <f t="shared" si="19"/>
        <v>0.36051103233256238</v>
      </c>
    </row>
    <row r="276" spans="1:14" x14ac:dyDescent="0.25">
      <c r="A276" s="17" t="s">
        <v>22</v>
      </c>
      <c r="B276" s="2">
        <v>45260</v>
      </c>
      <c r="C276" s="3">
        <v>79.509999999999991</v>
      </c>
      <c r="D276" s="3">
        <v>47.446628570556598</v>
      </c>
      <c r="E276" s="3">
        <v>-48.427608501671983</v>
      </c>
      <c r="F276" s="3">
        <v>135.28250892298001</v>
      </c>
      <c r="G276" t="s">
        <v>3</v>
      </c>
      <c r="H276" s="8">
        <f t="shared" si="16"/>
        <v>0.40326212337370643</v>
      </c>
      <c r="I276" s="13">
        <v>83.79241943359375</v>
      </c>
      <c r="J276" s="8">
        <f t="shared" si="17"/>
        <v>5.3860136254480689E-2</v>
      </c>
      <c r="K276" s="13">
        <v>101.8344802856445</v>
      </c>
      <c r="L276" s="8">
        <f t="shared" si="18"/>
        <v>0.2807757550703624</v>
      </c>
      <c r="M276" s="13">
        <v>85.375198364257813</v>
      </c>
      <c r="N276" s="8">
        <f t="shared" si="19"/>
        <v>7.3766801210637931E-2</v>
      </c>
    </row>
    <row r="277" spans="1:14" x14ac:dyDescent="0.25">
      <c r="A277" s="17" t="s">
        <v>22</v>
      </c>
      <c r="B277" s="2">
        <v>45291</v>
      </c>
      <c r="C277" s="3">
        <v>168.5</v>
      </c>
      <c r="D277" s="3">
        <v>136.21665954589801</v>
      </c>
      <c r="E277" s="3">
        <v>35.065868796336197</v>
      </c>
      <c r="F277" s="3">
        <v>226.08039218560319</v>
      </c>
      <c r="G277" t="s">
        <v>3</v>
      </c>
      <c r="H277" s="8">
        <f t="shared" si="16"/>
        <v>0.19159252495016016</v>
      </c>
      <c r="I277" s="13">
        <v>140.9111328125</v>
      </c>
      <c r="J277" s="8">
        <f t="shared" si="17"/>
        <v>0.16373214948071216</v>
      </c>
      <c r="K277" s="13">
        <v>140.8649597167969</v>
      </c>
      <c r="L277" s="8">
        <f t="shared" si="18"/>
        <v>0.16400617378755547</v>
      </c>
      <c r="M277" s="13">
        <v>114.8839492797852</v>
      </c>
      <c r="N277" s="8">
        <f t="shared" si="19"/>
        <v>0.31819614670750623</v>
      </c>
    </row>
    <row r="278" spans="1:14" x14ac:dyDescent="0.25">
      <c r="A278" s="17" t="s">
        <v>22</v>
      </c>
      <c r="B278" s="2">
        <v>45322</v>
      </c>
      <c r="C278" s="3">
        <v>239.74</v>
      </c>
      <c r="D278" s="3">
        <v>223.14660644531199</v>
      </c>
      <c r="E278" s="3">
        <v>131.245462212636</v>
      </c>
      <c r="F278" s="3">
        <v>311.21493358450988</v>
      </c>
      <c r="G278" t="s">
        <v>3</v>
      </c>
      <c r="H278" s="8">
        <f t="shared" si="16"/>
        <v>6.9214121776457915E-2</v>
      </c>
      <c r="I278" s="13">
        <v>329.20306396484381</v>
      </c>
      <c r="J278" s="8">
        <f t="shared" si="17"/>
        <v>0.37316703080355301</v>
      </c>
      <c r="K278" s="13">
        <v>302.48492431640619</v>
      </c>
      <c r="L278" s="8">
        <f t="shared" si="18"/>
        <v>0.26172071542673808</v>
      </c>
      <c r="M278" s="13">
        <v>331.24285888671881</v>
      </c>
      <c r="N278" s="8">
        <f t="shared" si="19"/>
        <v>0.3816753937045082</v>
      </c>
    </row>
    <row r="279" spans="1:14" x14ac:dyDescent="0.25">
      <c r="A279" s="17" t="s">
        <v>22</v>
      </c>
      <c r="B279" s="2">
        <v>45351</v>
      </c>
      <c r="C279" s="3">
        <v>564.20000000000005</v>
      </c>
      <c r="D279" s="3">
        <v>566.52728271484375</v>
      </c>
      <c r="E279" s="3">
        <v>330.25874462094703</v>
      </c>
      <c r="F279" s="3">
        <v>498.57459862160601</v>
      </c>
      <c r="G279" t="s">
        <v>3</v>
      </c>
      <c r="H279" s="8">
        <f t="shared" si="16"/>
        <v>4.1249250528956121E-3</v>
      </c>
      <c r="I279" s="13">
        <v>426.9656982421875</v>
      </c>
      <c r="J279" s="8">
        <f t="shared" si="17"/>
        <v>0.24323697582029871</v>
      </c>
      <c r="K279" s="13">
        <v>401.18588256835938</v>
      </c>
      <c r="L279" s="8">
        <f t="shared" si="18"/>
        <v>0.28892966577745599</v>
      </c>
      <c r="M279" s="13">
        <v>389.87905883789063</v>
      </c>
      <c r="N279" s="8">
        <f t="shared" si="19"/>
        <v>0.30897011903954169</v>
      </c>
    </row>
    <row r="280" spans="1:14" x14ac:dyDescent="0.25">
      <c r="A280" s="17" t="s">
        <v>22</v>
      </c>
      <c r="B280" s="2">
        <v>45382</v>
      </c>
      <c r="C280" s="3">
        <v>221.14</v>
      </c>
      <c r="D280" s="3">
        <v>227.24534606933599</v>
      </c>
      <c r="E280" s="3">
        <v>139.0919938189374</v>
      </c>
      <c r="F280" s="3">
        <v>313.26793698028519</v>
      </c>
      <c r="G280" t="s">
        <v>3</v>
      </c>
      <c r="H280" s="8">
        <f t="shared" si="16"/>
        <v>2.7608510759410367E-2</v>
      </c>
      <c r="I280" s="13">
        <v>511.94235229492188</v>
      </c>
      <c r="J280" s="8">
        <f t="shared" si="17"/>
        <v>1.3150147069499951</v>
      </c>
      <c r="K280" s="13">
        <v>505.76806640625</v>
      </c>
      <c r="L280" s="8">
        <f t="shared" si="18"/>
        <v>1.2870944487937508</v>
      </c>
      <c r="M280" s="13">
        <v>455.10293579101563</v>
      </c>
      <c r="N280" s="8">
        <f t="shared" si="19"/>
        <v>1.0579856009361295</v>
      </c>
    </row>
    <row r="281" spans="1:14" x14ac:dyDescent="0.25">
      <c r="A281" s="17" t="s">
        <v>22</v>
      </c>
      <c r="B281" s="2">
        <v>45412</v>
      </c>
      <c r="C281" s="3">
        <v>189.11</v>
      </c>
      <c r="D281" s="3">
        <v>326.43084716796881</v>
      </c>
      <c r="E281" s="3">
        <v>239.45933759536561</v>
      </c>
      <c r="F281" s="3">
        <v>423.10414550681872</v>
      </c>
      <c r="G281" t="s">
        <v>3</v>
      </c>
      <c r="H281" s="8">
        <f t="shared" si="16"/>
        <v>0.72614270619199817</v>
      </c>
      <c r="I281" s="13">
        <v>354.1517333984375</v>
      </c>
      <c r="J281" s="8">
        <f t="shared" si="17"/>
        <v>0.8727287472816746</v>
      </c>
      <c r="K281" s="13">
        <v>333.96917724609381</v>
      </c>
      <c r="L281" s="8">
        <f t="shared" si="18"/>
        <v>0.76600485033099142</v>
      </c>
      <c r="M281" s="13">
        <v>259.76953125</v>
      </c>
      <c r="N281" s="8">
        <f t="shared" si="19"/>
        <v>0.37364248982073917</v>
      </c>
    </row>
    <row r="282" spans="1:14" x14ac:dyDescent="0.25">
      <c r="A282" s="17" t="s">
        <v>22</v>
      </c>
      <c r="B282" s="2">
        <v>45443</v>
      </c>
      <c r="C282" s="3">
        <v>172.64</v>
      </c>
      <c r="D282" s="3">
        <v>168.2428894042969</v>
      </c>
      <c r="E282" s="3">
        <v>102.6278644733149</v>
      </c>
      <c r="F282" s="3">
        <v>287.37293639275322</v>
      </c>
      <c r="G282" t="s">
        <v>3</v>
      </c>
      <c r="H282" s="8">
        <f t="shared" si="16"/>
        <v>2.5469825044619341E-2</v>
      </c>
      <c r="I282" s="13">
        <v>206.6023254394531</v>
      </c>
      <c r="J282" s="8">
        <f t="shared" si="17"/>
        <v>0.19672338646578494</v>
      </c>
      <c r="K282" s="13">
        <v>208.0563049316406</v>
      </c>
      <c r="L282" s="8">
        <f t="shared" si="18"/>
        <v>0.20514541781534182</v>
      </c>
      <c r="M282" s="13">
        <v>174.6455078125</v>
      </c>
      <c r="N282" s="8">
        <f t="shared" si="19"/>
        <v>1.1616704196594149E-2</v>
      </c>
    </row>
    <row r="283" spans="1:14" x14ac:dyDescent="0.25">
      <c r="A283" s="17" t="s">
        <v>22</v>
      </c>
      <c r="B283" s="2">
        <v>45473</v>
      </c>
      <c r="C283" s="3">
        <v>72.61</v>
      </c>
      <c r="D283" s="3">
        <v>16.4535522460937</v>
      </c>
      <c r="E283" s="3">
        <v>16.9215823853099</v>
      </c>
      <c r="F283" s="3">
        <v>198.6343512508856</v>
      </c>
      <c r="G283" t="s">
        <v>3</v>
      </c>
      <c r="H283" s="8">
        <f t="shared" si="16"/>
        <v>0.77339826131257816</v>
      </c>
      <c r="I283" s="13">
        <v>131.0927734375</v>
      </c>
      <c r="J283" s="8">
        <f t="shared" si="17"/>
        <v>0.80543690176972871</v>
      </c>
      <c r="K283" s="13">
        <v>142.955078125</v>
      </c>
      <c r="L283" s="8">
        <f t="shared" si="18"/>
        <v>0.96880702554744524</v>
      </c>
      <c r="M283" s="13">
        <v>133.4331970214844</v>
      </c>
      <c r="N283" s="8">
        <f t="shared" si="19"/>
        <v>0.8376697014389809</v>
      </c>
    </row>
    <row r="284" spans="1:14" x14ac:dyDescent="0.25">
      <c r="A284" s="17" t="s">
        <v>22</v>
      </c>
      <c r="B284" s="2">
        <v>45504</v>
      </c>
      <c r="C284" s="3">
        <v>62.62</v>
      </c>
      <c r="D284" s="3">
        <v>37.225570678710938</v>
      </c>
      <c r="E284" s="3">
        <v>-23.363901787975589</v>
      </c>
      <c r="F284" s="3">
        <v>156.66720176393039</v>
      </c>
      <c r="G284" t="s">
        <v>3</v>
      </c>
      <c r="H284" s="8">
        <f t="shared" si="16"/>
        <v>0.40553224722595116</v>
      </c>
      <c r="I284" s="13">
        <v>98.266868591308594</v>
      </c>
      <c r="J284" s="8">
        <f t="shared" si="17"/>
        <v>0.56925692416653784</v>
      </c>
      <c r="K284" s="13">
        <v>99.216972351074219</v>
      </c>
      <c r="L284" s="8">
        <f t="shared" si="18"/>
        <v>0.58442945306729832</v>
      </c>
      <c r="M284" s="13">
        <v>98.763885498046875</v>
      </c>
      <c r="N284" s="8">
        <f t="shared" si="19"/>
        <v>0.57719395557404785</v>
      </c>
    </row>
    <row r="285" spans="1:14" x14ac:dyDescent="0.25">
      <c r="A285" s="17" t="s">
        <v>22</v>
      </c>
      <c r="B285" s="2">
        <v>45535</v>
      </c>
      <c r="C285" s="3">
        <v>44.41</v>
      </c>
      <c r="D285" s="3">
        <v>11.624885559082029</v>
      </c>
      <c r="E285" s="3">
        <v>-16.33903575919798</v>
      </c>
      <c r="F285" s="3">
        <v>158.47153810305539</v>
      </c>
      <c r="G285" t="s">
        <v>3</v>
      </c>
      <c r="H285" s="8">
        <f t="shared" si="16"/>
        <v>0.73823720875744125</v>
      </c>
      <c r="I285" s="13">
        <v>88.900604248046875</v>
      </c>
      <c r="J285" s="8">
        <f t="shared" si="17"/>
        <v>1.0018150022077659</v>
      </c>
      <c r="K285" s="13">
        <v>88.928436279296875</v>
      </c>
      <c r="L285" s="8">
        <f t="shared" si="18"/>
        <v>1.0024417086083512</v>
      </c>
      <c r="M285" s="13">
        <v>68.905410766601563</v>
      </c>
      <c r="N285" s="8">
        <f t="shared" si="19"/>
        <v>0.55157421226303915</v>
      </c>
    </row>
    <row r="286" spans="1:14" x14ac:dyDescent="0.25">
      <c r="A286" s="17" t="s">
        <v>22</v>
      </c>
      <c r="B286" s="2">
        <v>45565</v>
      </c>
      <c r="C286" s="3">
        <v>20.239999999999998</v>
      </c>
      <c r="D286" s="3">
        <v>53.485404968261719</v>
      </c>
      <c r="E286" s="3">
        <v>-7.6188216489116858</v>
      </c>
      <c r="F286" s="3">
        <v>171.11116608529659</v>
      </c>
      <c r="G286" t="s">
        <v>3</v>
      </c>
      <c r="H286" s="8">
        <f t="shared" si="16"/>
        <v>1.6425595340050261</v>
      </c>
      <c r="I286" s="13">
        <v>81.703910827636719</v>
      </c>
      <c r="J286" s="8">
        <f t="shared" si="17"/>
        <v>3.0367544875314589</v>
      </c>
      <c r="K286" s="13">
        <v>95.922470092773438</v>
      </c>
      <c r="L286" s="8">
        <f t="shared" si="18"/>
        <v>3.7392524749393998</v>
      </c>
      <c r="M286" s="13">
        <v>84.524795532226563</v>
      </c>
      <c r="N286" s="8">
        <f t="shared" si="19"/>
        <v>3.176126261473645</v>
      </c>
    </row>
    <row r="287" spans="1:14" x14ac:dyDescent="0.25">
      <c r="A287" s="17" t="s">
        <v>22</v>
      </c>
      <c r="B287" s="2">
        <v>45596</v>
      </c>
      <c r="C287" s="3">
        <v>91.5</v>
      </c>
      <c r="D287" s="3">
        <v>10.060976028442401</v>
      </c>
      <c r="E287" s="3">
        <v>-43.808082818825874</v>
      </c>
      <c r="F287" s="3">
        <v>143.0388753550414</v>
      </c>
      <c r="G287" t="s">
        <v>3</v>
      </c>
      <c r="H287" s="8">
        <f t="shared" si="16"/>
        <v>0.89004397783123068</v>
      </c>
      <c r="I287" s="13">
        <v>57.907352447509773</v>
      </c>
      <c r="J287" s="8">
        <f t="shared" si="17"/>
        <v>0.3671327601365052</v>
      </c>
      <c r="K287" s="13">
        <v>63.125522613525391</v>
      </c>
      <c r="L287" s="8">
        <f t="shared" si="18"/>
        <v>0.31010357799425803</v>
      </c>
      <c r="M287" s="13">
        <v>58.504779815673828</v>
      </c>
      <c r="N287" s="8">
        <f t="shared" si="19"/>
        <v>0.36060349928225327</v>
      </c>
    </row>
    <row r="288" spans="1:14" x14ac:dyDescent="0.25">
      <c r="A288" s="17" t="s">
        <v>22</v>
      </c>
      <c r="B288" s="2">
        <v>45626</v>
      </c>
      <c r="C288" s="3">
        <v>15.31</v>
      </c>
      <c r="D288" s="3">
        <v>21.415298461914102</v>
      </c>
      <c r="E288" s="3">
        <v>-64.770571649946518</v>
      </c>
      <c r="F288" s="3">
        <v>114.6219779237495</v>
      </c>
      <c r="G288" t="s">
        <v>3</v>
      </c>
      <c r="H288" s="8">
        <f t="shared" si="16"/>
        <v>0.39877847563122804</v>
      </c>
      <c r="I288" s="13">
        <v>39.062358856201172</v>
      </c>
      <c r="J288" s="8">
        <f t="shared" si="17"/>
        <v>1.5514277502417484</v>
      </c>
      <c r="K288" s="13">
        <v>33.357906341552727</v>
      </c>
      <c r="L288" s="8">
        <f t="shared" si="18"/>
        <v>1.1788312437330324</v>
      </c>
      <c r="M288" s="13">
        <v>47.471462249755859</v>
      </c>
      <c r="N288" s="8">
        <f t="shared" si="19"/>
        <v>2.1006833605327144</v>
      </c>
    </row>
    <row r="289" spans="1:14" x14ac:dyDescent="0.25">
      <c r="A289" s="17" t="s">
        <v>22</v>
      </c>
      <c r="B289" s="2">
        <v>45657</v>
      </c>
      <c r="C289" s="3">
        <v>68.5</v>
      </c>
      <c r="D289" s="3">
        <v>48.374782085418701</v>
      </c>
      <c r="E289" s="3">
        <v>-74.071497192903891</v>
      </c>
      <c r="F289" s="3">
        <v>107.8312265502224</v>
      </c>
      <c r="G289" t="s">
        <v>3</v>
      </c>
      <c r="H289" s="8">
        <f t="shared" si="16"/>
        <v>0.29379880167271971</v>
      </c>
      <c r="I289" s="13">
        <v>71.194046020507813</v>
      </c>
      <c r="J289" s="8">
        <f t="shared" si="17"/>
        <v>3.9329138985515509E-2</v>
      </c>
      <c r="K289" s="13">
        <v>63.150997161865227</v>
      </c>
      <c r="L289" s="8">
        <f t="shared" si="18"/>
        <v>7.8087632673500329E-2</v>
      </c>
      <c r="M289" s="13">
        <v>142.0263977050781</v>
      </c>
      <c r="N289" s="8">
        <f t="shared" si="19"/>
        <v>1.0733780686872716</v>
      </c>
    </row>
    <row r="290" spans="1:14" x14ac:dyDescent="0.25">
      <c r="A290" s="17" t="s">
        <v>22</v>
      </c>
      <c r="B290" s="2">
        <v>45688</v>
      </c>
      <c r="C290" s="3">
        <v>177.64</v>
      </c>
      <c r="D290" s="3">
        <v>167.64</v>
      </c>
      <c r="E290" s="3">
        <v>-178.94323878749299</v>
      </c>
      <c r="F290" s="3">
        <v>1.04776809862327</v>
      </c>
      <c r="G290" t="s">
        <v>3</v>
      </c>
      <c r="H290" s="8">
        <f t="shared" si="16"/>
        <v>5.6293627561360061E-2</v>
      </c>
      <c r="I290" s="13">
        <v>226.610595703125</v>
      </c>
      <c r="J290" s="8">
        <f t="shared" si="17"/>
        <v>0.27567324759696588</v>
      </c>
      <c r="K290" s="13">
        <v>229.98463439941409</v>
      </c>
      <c r="L290" s="8">
        <f t="shared" si="18"/>
        <v>0.29466693537161737</v>
      </c>
      <c r="M290" s="13">
        <v>294.79257202148438</v>
      </c>
      <c r="N290" s="8">
        <f t="shared" si="19"/>
        <v>0.65949432572328526</v>
      </c>
    </row>
    <row r="291" spans="1:14" x14ac:dyDescent="0.25">
      <c r="A291" s="17" t="s">
        <v>22</v>
      </c>
      <c r="B291" s="2">
        <v>45716</v>
      </c>
      <c r="C291" s="3">
        <v>701.9</v>
      </c>
      <c r="D291" s="3">
        <v>691.9</v>
      </c>
      <c r="E291" s="3">
        <v>182.6311215442698</v>
      </c>
      <c r="F291" s="3">
        <v>365.0600559734205</v>
      </c>
      <c r="G291" t="s">
        <v>3</v>
      </c>
      <c r="H291" s="8">
        <f t="shared" si="16"/>
        <v>1.4247043738424277E-2</v>
      </c>
      <c r="I291" s="13">
        <v>351.83624267578119</v>
      </c>
      <c r="J291" s="8">
        <f t="shared" si="17"/>
        <v>0.49873736618352871</v>
      </c>
      <c r="K291" s="13">
        <v>374.19107055664063</v>
      </c>
      <c r="L291" s="8">
        <f t="shared" si="18"/>
        <v>0.46688834512517363</v>
      </c>
      <c r="M291" s="13">
        <v>336.036865234375</v>
      </c>
      <c r="N291" s="8">
        <f t="shared" si="19"/>
        <v>0.52124680832828751</v>
      </c>
    </row>
    <row r="292" spans="1:14" x14ac:dyDescent="0.25">
      <c r="A292" s="17" t="s">
        <v>22</v>
      </c>
      <c r="B292" s="2">
        <v>45747</v>
      </c>
      <c r="C292" s="3">
        <v>519.19000000000005</v>
      </c>
      <c r="D292" s="3">
        <v>499.19</v>
      </c>
      <c r="E292" s="3">
        <v>339.01988930803469</v>
      </c>
      <c r="F292" s="3">
        <v>518.91846695868696</v>
      </c>
      <c r="G292" t="s">
        <v>3</v>
      </c>
      <c r="H292" s="8">
        <f t="shared" si="16"/>
        <v>3.8521543173019618E-2</v>
      </c>
      <c r="I292" s="13">
        <v>616.84295654296875</v>
      </c>
      <c r="J292" s="8">
        <f t="shared" si="17"/>
        <v>0.18808712907214831</v>
      </c>
      <c r="K292" s="13">
        <v>574.030517578125</v>
      </c>
      <c r="L292" s="8">
        <f t="shared" si="18"/>
        <v>0.10562706827582376</v>
      </c>
      <c r="M292" s="13">
        <v>467.21841430664063</v>
      </c>
      <c r="N292" s="8">
        <f t="shared" si="19"/>
        <v>0.10010128410285141</v>
      </c>
    </row>
    <row r="293" spans="1:14" x14ac:dyDescent="0.25">
      <c r="A293" s="17" t="s">
        <v>22</v>
      </c>
      <c r="B293" s="2">
        <v>45777</v>
      </c>
      <c r="C293" s="3">
        <v>403.26</v>
      </c>
      <c r="D293" s="3">
        <v>390.26</v>
      </c>
      <c r="E293" s="3">
        <v>375.53307110760898</v>
      </c>
      <c r="F293" s="3">
        <v>555.16132715899903</v>
      </c>
      <c r="G293" t="s">
        <v>3</v>
      </c>
      <c r="H293" s="8">
        <f t="shared" si="16"/>
        <v>3.2237266279819474E-2</v>
      </c>
      <c r="I293" s="13">
        <v>336.21701049804688</v>
      </c>
      <c r="J293" s="8">
        <f t="shared" si="17"/>
        <v>0.16625251575150801</v>
      </c>
      <c r="K293" s="13">
        <v>373.81680297851563</v>
      </c>
      <c r="L293" s="8">
        <f t="shared" si="18"/>
        <v>7.3012937116213775E-2</v>
      </c>
      <c r="M293" s="13">
        <v>397.25311279296881</v>
      </c>
      <c r="N293" s="8">
        <f t="shared" si="19"/>
        <v>1.4895817108146567E-2</v>
      </c>
    </row>
    <row r="294" spans="1:14" x14ac:dyDescent="0.25">
      <c r="A294" s="17" t="s">
        <v>22</v>
      </c>
      <c r="B294" s="2">
        <v>45808</v>
      </c>
      <c r="C294" s="3">
        <v>27.25</v>
      </c>
      <c r="D294" s="3">
        <v>275.25</v>
      </c>
      <c r="E294" s="3">
        <v>214.28570384160599</v>
      </c>
      <c r="F294" s="3">
        <v>403.1368217161924</v>
      </c>
      <c r="G294" t="s">
        <v>3</v>
      </c>
      <c r="H294" s="8">
        <f t="shared" si="16"/>
        <v>9.1009174311926611</v>
      </c>
      <c r="I294" s="13">
        <v>208.0514221191406</v>
      </c>
      <c r="J294" s="8">
        <f t="shared" si="17"/>
        <v>6.6349145731794712</v>
      </c>
      <c r="K294" s="13">
        <v>214.69146728515619</v>
      </c>
      <c r="L294" s="8">
        <f t="shared" si="18"/>
        <v>6.8785859554185755</v>
      </c>
      <c r="M294" s="13">
        <v>233.4739685058594</v>
      </c>
      <c r="N294" s="8">
        <f t="shared" si="19"/>
        <v>7.5678520552608957</v>
      </c>
    </row>
    <row r="295" spans="1:14" x14ac:dyDescent="0.25">
      <c r="A295" s="17" t="s">
        <v>22</v>
      </c>
      <c r="B295" s="2">
        <v>45838</v>
      </c>
      <c r="C295" s="3">
        <v>0.81</v>
      </c>
      <c r="D295" s="3">
        <v>102.151252746582</v>
      </c>
      <c r="E295" s="3">
        <v>85.439147751639879</v>
      </c>
      <c r="F295" s="3">
        <v>276.73309942044392</v>
      </c>
      <c r="G295" t="s">
        <v>3</v>
      </c>
      <c r="H295" s="8">
        <f t="shared" si="16"/>
        <v>125.11265771182963</v>
      </c>
      <c r="I295" s="13">
        <v>124.3251953125</v>
      </c>
      <c r="J295" s="8">
        <f t="shared" si="17"/>
        <v>152.48789544753086</v>
      </c>
      <c r="K295" s="13">
        <v>123.79493713378911</v>
      </c>
      <c r="L295" s="8">
        <f t="shared" si="18"/>
        <v>151.83325572072727</v>
      </c>
      <c r="M295" s="13">
        <v>131.16563415527341</v>
      </c>
      <c r="N295" s="8">
        <f t="shared" si="19"/>
        <v>160.93288167317704</v>
      </c>
    </row>
    <row r="296" spans="1:14" x14ac:dyDescent="0.25">
      <c r="A296" s="17" t="s">
        <v>22</v>
      </c>
      <c r="B296" s="2">
        <v>45869</v>
      </c>
      <c r="C296" s="3">
        <v>0</v>
      </c>
      <c r="D296" s="3">
        <v>110.466911315918</v>
      </c>
      <c r="E296" s="3">
        <v>-54.310190569212409</v>
      </c>
      <c r="F296" s="3">
        <v>137.6736585713746</v>
      </c>
      <c r="G296" t="s">
        <v>3</v>
      </c>
      <c r="H296" s="8">
        <f t="shared" si="16"/>
        <v>0</v>
      </c>
      <c r="I296" s="13">
        <v>92.89208984375</v>
      </c>
      <c r="J296" s="8">
        <f t="shared" si="17"/>
        <v>0</v>
      </c>
      <c r="K296" s="13">
        <v>84.661674499511719</v>
      </c>
      <c r="L296" s="8">
        <f t="shared" si="18"/>
        <v>0</v>
      </c>
      <c r="M296" s="13">
        <v>85.292037963867188</v>
      </c>
      <c r="N296" s="8">
        <f t="shared" si="19"/>
        <v>0</v>
      </c>
    </row>
    <row r="297" spans="1:14" x14ac:dyDescent="0.25">
      <c r="A297" s="17" t="s">
        <v>22</v>
      </c>
      <c r="B297" s="2">
        <v>45900</v>
      </c>
      <c r="C297" s="3">
        <v>0</v>
      </c>
      <c r="D297" s="3">
        <v>70.994346618652301</v>
      </c>
      <c r="E297" s="3">
        <v>-30.569254809830671</v>
      </c>
      <c r="F297" s="3">
        <v>163.46247050562039</v>
      </c>
      <c r="G297" t="s">
        <v>3</v>
      </c>
      <c r="H297" s="8">
        <f t="shared" si="16"/>
        <v>0</v>
      </c>
      <c r="I297" s="13">
        <v>86.41522216796875</v>
      </c>
      <c r="J297" s="8">
        <f t="shared" si="17"/>
        <v>0</v>
      </c>
      <c r="K297" s="13">
        <v>74.315345764160156</v>
      </c>
      <c r="L297" s="8">
        <f t="shared" si="18"/>
        <v>0</v>
      </c>
      <c r="M297" s="13">
        <v>56.417675018310547</v>
      </c>
      <c r="N297" s="8">
        <f t="shared" si="19"/>
        <v>0</v>
      </c>
    </row>
    <row r="298" spans="1:14" x14ac:dyDescent="0.25">
      <c r="A298" s="17" t="s">
        <v>22</v>
      </c>
      <c r="B298" s="2">
        <v>45930</v>
      </c>
      <c r="C298" s="3">
        <v>1.05</v>
      </c>
      <c r="D298" s="3">
        <v>90.088928222656193</v>
      </c>
      <c r="E298" s="3">
        <v>-8.7396410545163885</v>
      </c>
      <c r="F298" s="3">
        <v>196.3556511922859</v>
      </c>
      <c r="G298" t="s">
        <v>3</v>
      </c>
      <c r="H298" s="8">
        <f t="shared" si="16"/>
        <v>84.798979259672564</v>
      </c>
      <c r="I298" s="13">
        <v>83.799484252929688</v>
      </c>
      <c r="J298" s="8">
        <f t="shared" si="17"/>
        <v>78.809032621837801</v>
      </c>
      <c r="K298" s="13">
        <v>89.840110778808594</v>
      </c>
      <c r="L298" s="8">
        <f t="shared" si="18"/>
        <v>84.562010265531995</v>
      </c>
      <c r="M298" s="13">
        <v>82.285820007324219</v>
      </c>
      <c r="N298" s="8">
        <f t="shared" si="19"/>
        <v>77.367447626023065</v>
      </c>
    </row>
    <row r="299" spans="1:14" s="6" customFormat="1" x14ac:dyDescent="0.25">
      <c r="A299" s="17" t="s">
        <v>22</v>
      </c>
      <c r="B299" s="4">
        <v>45961</v>
      </c>
      <c r="C299" s="5">
        <v>2.16</v>
      </c>
      <c r="D299" s="5">
        <v>80.190643310546903</v>
      </c>
      <c r="E299" s="5">
        <v>27.41396894249656</v>
      </c>
      <c r="F299" s="5">
        <v>233.7728206973226</v>
      </c>
      <c r="G299" s="6" t="s">
        <v>3</v>
      </c>
      <c r="H299" s="14">
        <f t="shared" si="16"/>
        <v>36.125297828956896</v>
      </c>
      <c r="I299" s="15">
        <v>65.991302490234375</v>
      </c>
      <c r="J299" s="14">
        <f t="shared" si="17"/>
        <v>29.551528930664063</v>
      </c>
      <c r="K299" s="15">
        <v>75.217796325683594</v>
      </c>
      <c r="L299" s="14">
        <f t="shared" si="18"/>
        <v>33.823053854483142</v>
      </c>
      <c r="M299" s="15">
        <v>94.604583740234375</v>
      </c>
      <c r="N299" s="14">
        <f t="shared" si="19"/>
        <v>42.798418398256651</v>
      </c>
    </row>
    <row r="300" spans="1:14" x14ac:dyDescent="0.25">
      <c r="A300" s="17" t="s">
        <v>23</v>
      </c>
      <c r="B300" s="2">
        <v>45991</v>
      </c>
      <c r="D300" s="3">
        <v>56.922350883483901</v>
      </c>
      <c r="E300" s="3">
        <v>2.9223508834838992</v>
      </c>
      <c r="F300" s="3">
        <v>22.922350883483901</v>
      </c>
      <c r="G300" t="s">
        <v>3</v>
      </c>
      <c r="I300" s="13">
        <v>45.490795135498047</v>
      </c>
      <c r="J300" s="8"/>
      <c r="K300" s="13">
        <v>46.176654815673828</v>
      </c>
      <c r="L300" s="8"/>
      <c r="M300" s="13">
        <v>138.968994140625</v>
      </c>
      <c r="N300" s="8"/>
    </row>
    <row r="301" spans="1:14" x14ac:dyDescent="0.25">
      <c r="A301" s="17" t="s">
        <v>23</v>
      </c>
      <c r="B301" s="2">
        <v>46022</v>
      </c>
      <c r="D301" s="3">
        <v>116.76113128662099</v>
      </c>
      <c r="E301" s="3">
        <v>36.761131286621087</v>
      </c>
      <c r="F301" s="3">
        <v>56.761131286621087</v>
      </c>
      <c r="G301" t="s">
        <v>3</v>
      </c>
      <c r="I301" s="13">
        <v>66.998504638671875</v>
      </c>
      <c r="J301" s="8"/>
      <c r="K301" s="13">
        <v>61.919887542724609</v>
      </c>
      <c r="L301" s="8"/>
      <c r="M301" s="13">
        <v>215.35704040527341</v>
      </c>
      <c r="N301" s="8"/>
    </row>
    <row r="302" spans="1:14" x14ac:dyDescent="0.25">
      <c r="A302" s="17" t="s">
        <v>23</v>
      </c>
      <c r="B302" s="2">
        <v>46023</v>
      </c>
      <c r="D302" s="3">
        <f>249.206488037109-30</f>
        <v>219.20648803710901</v>
      </c>
      <c r="E302" s="3">
        <v>206.7012939453125</v>
      </c>
      <c r="F302" s="3">
        <v>226.7012939453125</v>
      </c>
      <c r="G302" t="s">
        <v>3</v>
      </c>
      <c r="I302" s="13">
        <v>207.97267150878909</v>
      </c>
      <c r="J302" s="8"/>
      <c r="K302" s="13">
        <v>205.5959777832031</v>
      </c>
      <c r="L302" s="8"/>
      <c r="M302" s="13">
        <v>421.27908325195313</v>
      </c>
      <c r="N302" s="8"/>
    </row>
    <row r="303" spans="1:14" x14ac:dyDescent="0.25">
      <c r="A303" s="17" t="s">
        <v>23</v>
      </c>
      <c r="B303" s="2">
        <v>46054</v>
      </c>
      <c r="D303" s="3">
        <f>413.917491149902+108.14-30</f>
        <v>492.05749114990203</v>
      </c>
      <c r="E303" s="3">
        <v>349.92825317382813</v>
      </c>
      <c r="F303" s="3">
        <v>369.92825317382813</v>
      </c>
      <c r="G303" t="s">
        <v>3</v>
      </c>
      <c r="I303" s="13">
        <v>332.3037109375</v>
      </c>
      <c r="J303" s="8"/>
      <c r="K303" s="13">
        <v>352.278076171875</v>
      </c>
      <c r="L303" s="8"/>
      <c r="M303" s="13">
        <v>490.63369750976563</v>
      </c>
      <c r="N303" s="8"/>
    </row>
    <row r="304" spans="1:14" x14ac:dyDescent="0.25">
      <c r="A304" s="17" t="s">
        <v>23</v>
      </c>
      <c r="B304" s="2">
        <v>46082</v>
      </c>
      <c r="D304" s="3">
        <f>395.814607238769+200-30</f>
        <v>565.81460723876899</v>
      </c>
      <c r="E304" s="3">
        <v>334.18661499023438</v>
      </c>
      <c r="F304" s="3">
        <v>354.18661499023438</v>
      </c>
      <c r="G304" t="s">
        <v>3</v>
      </c>
      <c r="I304" s="13">
        <v>346.15328979492188</v>
      </c>
      <c r="J304" s="8"/>
      <c r="K304" s="13">
        <v>403.97036743164063</v>
      </c>
      <c r="L304" s="8"/>
      <c r="M304" s="13">
        <v>458.7529296875</v>
      </c>
      <c r="N304" s="8"/>
    </row>
    <row r="305" spans="1:14" x14ac:dyDescent="0.25">
      <c r="A305" s="17" t="s">
        <v>23</v>
      </c>
      <c r="B305" s="2">
        <v>46113</v>
      </c>
      <c r="D305" s="3">
        <v>405.52257537841791</v>
      </c>
      <c r="E305" s="3">
        <v>342.62832641601563</v>
      </c>
      <c r="F305" s="3">
        <v>362.62832641601563</v>
      </c>
      <c r="G305" t="s">
        <v>3</v>
      </c>
      <c r="I305" s="13">
        <v>257.65570068359381</v>
      </c>
      <c r="J305" s="8"/>
      <c r="K305" s="13">
        <v>308.8447265625</v>
      </c>
      <c r="L305" s="8"/>
      <c r="M305" s="13">
        <v>311.41204833984381</v>
      </c>
      <c r="N305" s="8"/>
    </row>
    <row r="306" spans="1:14" x14ac:dyDescent="0.25">
      <c r="A306" s="17" t="s">
        <v>23</v>
      </c>
      <c r="B306" s="2">
        <v>46143</v>
      </c>
      <c r="D306" s="3">
        <v>213.98535156249997</v>
      </c>
      <c r="E306" s="3">
        <v>176.07421875</v>
      </c>
      <c r="F306" s="3">
        <v>196.07421875</v>
      </c>
      <c r="G306" t="s">
        <v>3</v>
      </c>
      <c r="I306" s="13">
        <v>165.31254577636719</v>
      </c>
      <c r="J306" s="8"/>
      <c r="K306" s="13">
        <v>172.67094421386719</v>
      </c>
      <c r="L306" s="8"/>
      <c r="M306" s="13">
        <v>205.0877685546875</v>
      </c>
      <c r="N306" s="8"/>
    </row>
    <row r="307" spans="1:14" x14ac:dyDescent="0.25">
      <c r="A307" s="17" t="s">
        <v>23</v>
      </c>
      <c r="B307" s="2">
        <v>46174</v>
      </c>
      <c r="D307" s="3">
        <v>123.60831222534183</v>
      </c>
      <c r="E307" s="3">
        <v>97.485488891601605</v>
      </c>
      <c r="F307" s="3">
        <v>117.48548889160161</v>
      </c>
      <c r="G307" t="s">
        <v>3</v>
      </c>
      <c r="I307" s="13">
        <v>111.7006378173828</v>
      </c>
      <c r="J307" s="8"/>
      <c r="K307" s="13">
        <v>112.3415832519531</v>
      </c>
      <c r="L307" s="8"/>
      <c r="M307" s="13">
        <v>137.0849609375</v>
      </c>
      <c r="N307" s="8"/>
    </row>
    <row r="308" spans="1:14" x14ac:dyDescent="0.25">
      <c r="A308" s="17" t="s">
        <v>23</v>
      </c>
      <c r="B308" s="2">
        <v>46204</v>
      </c>
      <c r="D308" s="3">
        <v>72.942995643615717</v>
      </c>
      <c r="E308" s="3">
        <v>53.428691864013672</v>
      </c>
      <c r="F308" s="3">
        <v>73.428691864013672</v>
      </c>
      <c r="G308" t="s">
        <v>3</v>
      </c>
      <c r="I308" s="13">
        <v>91.83843994140625</v>
      </c>
      <c r="J308" s="8"/>
      <c r="K308" s="13">
        <v>77.329940795898438</v>
      </c>
      <c r="L308" s="8"/>
      <c r="M308" s="13">
        <v>97.973701477050781</v>
      </c>
      <c r="N308" s="8"/>
    </row>
    <row r="309" spans="1:14" x14ac:dyDescent="0.25">
      <c r="A309" s="17" t="s">
        <v>23</v>
      </c>
      <c r="B309" s="2">
        <v>46235</v>
      </c>
      <c r="D309" s="3">
        <v>11.853645706176753</v>
      </c>
      <c r="E309" s="3">
        <v>0.3075180053710902</v>
      </c>
      <c r="F309" s="3">
        <v>20.30751800537109</v>
      </c>
      <c r="G309" t="s">
        <v>3</v>
      </c>
      <c r="I309" s="13">
        <v>87.657218933105469</v>
      </c>
      <c r="J309" s="8"/>
      <c r="K309" s="13">
        <v>74.119331359863281</v>
      </c>
      <c r="L309" s="8"/>
      <c r="M309" s="13">
        <v>86.093116760253906</v>
      </c>
      <c r="N309" s="8"/>
    </row>
    <row r="310" spans="1:14" x14ac:dyDescent="0.25">
      <c r="A310" s="17" t="s">
        <v>23</v>
      </c>
      <c r="B310" s="2">
        <v>46266</v>
      </c>
      <c r="D310" s="3">
        <v>54.10140132904052</v>
      </c>
      <c r="E310" s="3">
        <v>37.044696807861328</v>
      </c>
      <c r="F310" s="3">
        <v>57.044696807861328</v>
      </c>
      <c r="G310" t="s">
        <v>3</v>
      </c>
      <c r="I310" s="13">
        <v>83.255348205566406</v>
      </c>
      <c r="J310" s="8"/>
      <c r="K310" s="13">
        <v>91.292259216308594</v>
      </c>
      <c r="L310" s="8"/>
      <c r="M310" s="13">
        <v>89.709930419921875</v>
      </c>
      <c r="N310" s="8"/>
    </row>
    <row r="311" spans="1:14" x14ac:dyDescent="0.25">
      <c r="A311" s="17" t="s">
        <v>23</v>
      </c>
      <c r="B311" s="2">
        <v>46296</v>
      </c>
      <c r="D311" s="3">
        <v>35.813791561126713</v>
      </c>
      <c r="E311" s="3">
        <v>21.142427444458011</v>
      </c>
      <c r="F311" s="3">
        <v>41.142427444458008</v>
      </c>
      <c r="G311" t="s">
        <v>3</v>
      </c>
      <c r="I311" s="13">
        <v>59.371517181396477</v>
      </c>
      <c r="J311" s="8"/>
      <c r="K311" s="13">
        <v>73.681587219238281</v>
      </c>
      <c r="L311" s="8"/>
      <c r="M311" s="13">
        <v>67.540870666503906</v>
      </c>
      <c r="N311" s="8"/>
    </row>
    <row r="312" spans="1:14" x14ac:dyDescent="0.25">
      <c r="A312" s="17" t="s">
        <v>23</v>
      </c>
      <c r="B312" s="2">
        <v>46327</v>
      </c>
      <c r="D312" s="3">
        <v>4.5995552778244049</v>
      </c>
      <c r="E312" s="3">
        <v>-6.0003867149353001</v>
      </c>
      <c r="F312" s="3">
        <v>13.999613285064701</v>
      </c>
      <c r="G312" t="s">
        <v>3</v>
      </c>
      <c r="I312" s="13">
        <v>42.121448516845703</v>
      </c>
      <c r="J312" s="8"/>
      <c r="K312" s="13">
        <v>46.547771453857422</v>
      </c>
      <c r="L312" s="8"/>
      <c r="M312" s="13">
        <v>89.29986572265625</v>
      </c>
      <c r="N312" s="8"/>
    </row>
    <row r="313" spans="1:14" x14ac:dyDescent="0.25">
      <c r="A313" s="17" t="s">
        <v>23</v>
      </c>
      <c r="B313" s="2">
        <v>46357</v>
      </c>
      <c r="D313" s="3">
        <v>78.032964324951166</v>
      </c>
      <c r="E313" s="3">
        <v>57.854751586914063</v>
      </c>
      <c r="F313" s="3">
        <v>77.854751586914063</v>
      </c>
      <c r="G313" t="s">
        <v>3</v>
      </c>
      <c r="I313" s="13">
        <v>81.514198303222656</v>
      </c>
      <c r="J313" s="8"/>
      <c r="K313" s="13">
        <v>73.730873107910156</v>
      </c>
      <c r="L313" s="8"/>
      <c r="M313" s="13">
        <v>95.356735229492188</v>
      </c>
      <c r="N313" s="8"/>
    </row>
    <row r="314" spans="1:14" x14ac:dyDescent="0.25">
      <c r="A314" s="17" t="s">
        <v>23</v>
      </c>
      <c r="B314" s="2">
        <v>46388</v>
      </c>
      <c r="D314" s="3">
        <v>229.74786376953128</v>
      </c>
      <c r="E314" s="3">
        <v>198.8616943359375</v>
      </c>
      <c r="F314" s="3">
        <v>218.8616943359375</v>
      </c>
      <c r="G314" t="s">
        <v>3</v>
      </c>
      <c r="I314" s="13">
        <v>255.78764343261719</v>
      </c>
      <c r="J314" s="8"/>
      <c r="K314" s="13">
        <v>245.70892333984381</v>
      </c>
      <c r="L314" s="8"/>
      <c r="M314" s="13">
        <v>273.75332641601563</v>
      </c>
      <c r="N314" s="8"/>
    </row>
    <row r="315" spans="1:14" x14ac:dyDescent="0.25">
      <c r="A315" s="17" t="s">
        <v>23</v>
      </c>
      <c r="B315" s="2">
        <v>46419</v>
      </c>
      <c r="D315" s="3">
        <v>391.50664367675785</v>
      </c>
      <c r="E315" s="3">
        <v>345.91513061523438</v>
      </c>
      <c r="F315" s="3">
        <v>365.91513061523438</v>
      </c>
      <c r="G315" t="s">
        <v>3</v>
      </c>
      <c r="I315" s="13">
        <v>382.80474853515619</v>
      </c>
      <c r="J315" s="8"/>
      <c r="K315" s="13">
        <v>389.5054931640625</v>
      </c>
      <c r="L315" s="8"/>
      <c r="M315" s="13">
        <v>333.92172241210938</v>
      </c>
      <c r="N315" s="8"/>
    </row>
    <row r="316" spans="1:14" x14ac:dyDescent="0.25">
      <c r="A316" s="17" t="s">
        <v>23</v>
      </c>
      <c r="B316" s="2">
        <v>46447</v>
      </c>
      <c r="D316" s="3">
        <v>694.80710449218759</v>
      </c>
      <c r="E316" s="3">
        <v>621.642822265625</v>
      </c>
      <c r="F316" s="3">
        <v>641.642822265625</v>
      </c>
      <c r="G316" t="s">
        <v>3</v>
      </c>
      <c r="I316" s="13">
        <v>397.08721923828119</v>
      </c>
      <c r="J316" s="8"/>
      <c r="K316" s="13">
        <v>435.546142578125</v>
      </c>
      <c r="L316" s="8"/>
      <c r="M316" s="13">
        <v>332.85208129882813</v>
      </c>
      <c r="N316" s="8"/>
    </row>
    <row r="317" spans="1:14" x14ac:dyDescent="0.25">
      <c r="A317" s="17" t="s">
        <v>23</v>
      </c>
      <c r="B317" s="2">
        <v>46478</v>
      </c>
      <c r="D317" s="3">
        <v>403.06493530273434</v>
      </c>
      <c r="E317" s="3">
        <v>356.42266845703119</v>
      </c>
      <c r="F317" s="3">
        <v>376.42266845703119</v>
      </c>
      <c r="G317" t="s">
        <v>3</v>
      </c>
      <c r="I317" s="13">
        <v>286.66586303710938</v>
      </c>
      <c r="J317" s="8"/>
      <c r="K317" s="13">
        <v>351.24337768554688</v>
      </c>
      <c r="L317" s="8"/>
      <c r="M317" s="13">
        <v>272.24880981445313</v>
      </c>
      <c r="N317" s="8"/>
    </row>
    <row r="318" spans="1:14" x14ac:dyDescent="0.25">
      <c r="A318" s="17" t="s">
        <v>23</v>
      </c>
      <c r="B318" s="2">
        <v>46508</v>
      </c>
      <c r="D318" s="3">
        <v>214.80204010009768</v>
      </c>
      <c r="E318" s="3">
        <v>185.27458190917969</v>
      </c>
      <c r="F318" s="3">
        <v>205.27458190917969</v>
      </c>
      <c r="G318" t="s">
        <v>3</v>
      </c>
      <c r="I318" s="13">
        <v>189.92286682128909</v>
      </c>
      <c r="J318" s="8"/>
      <c r="K318" s="13">
        <v>213.267578125</v>
      </c>
      <c r="L318" s="8"/>
      <c r="M318" s="13">
        <v>179.42683410644531</v>
      </c>
      <c r="N318" s="8"/>
    </row>
    <row r="319" spans="1:14" x14ac:dyDescent="0.25">
      <c r="A319" s="17" t="s">
        <v>23</v>
      </c>
      <c r="B319" s="2">
        <v>46539</v>
      </c>
      <c r="D319" s="3">
        <v>134.68354949951177</v>
      </c>
      <c r="E319" s="3">
        <v>112.43959045410161</v>
      </c>
      <c r="F319" s="3">
        <v>132.43959045410162</v>
      </c>
      <c r="G319" t="s">
        <v>3</v>
      </c>
      <c r="I319" s="13">
        <v>126.533821105957</v>
      </c>
      <c r="J319" s="8"/>
      <c r="K319" s="13">
        <v>141.0020751953125</v>
      </c>
      <c r="L319" s="8"/>
      <c r="M319" s="13">
        <v>121.976806640625</v>
      </c>
      <c r="N319" s="8"/>
    </row>
    <row r="320" spans="1:14" x14ac:dyDescent="0.25">
      <c r="A320" s="17" t="s">
        <v>23</v>
      </c>
      <c r="B320" s="2">
        <v>46569</v>
      </c>
      <c r="D320" s="3">
        <v>72.561160278320315</v>
      </c>
      <c r="E320" s="3">
        <v>55.964691162109375</v>
      </c>
      <c r="F320" s="3">
        <v>75.964691162109375</v>
      </c>
      <c r="G320" t="s">
        <v>3</v>
      </c>
      <c r="I320" s="13">
        <v>97.128913879394531</v>
      </c>
      <c r="J320" s="8"/>
      <c r="K320" s="13">
        <v>96.271461486816406</v>
      </c>
      <c r="L320" s="8"/>
      <c r="M320" s="13">
        <v>95.311187744140625</v>
      </c>
      <c r="N320" s="8"/>
    </row>
    <row r="321" spans="1:14" x14ac:dyDescent="0.25">
      <c r="A321" s="17" t="s">
        <v>23</v>
      </c>
      <c r="B321" s="2">
        <v>46600</v>
      </c>
      <c r="D321" s="3">
        <v>0.6229342997074131</v>
      </c>
      <c r="E321" s="3">
        <v>-9.4336960911750793</v>
      </c>
      <c r="F321" s="3">
        <v>10.566303908824921</v>
      </c>
      <c r="G321" t="s">
        <v>3</v>
      </c>
      <c r="I321" s="13">
        <v>90.102294921875</v>
      </c>
      <c r="J321" s="8"/>
      <c r="K321" s="13">
        <v>80.51318359375</v>
      </c>
      <c r="L321" s="8"/>
      <c r="M321" s="13">
        <v>81.762161254882813</v>
      </c>
      <c r="N321" s="8"/>
    </row>
    <row r="322" spans="1:14" x14ac:dyDescent="0.25">
      <c r="A322" s="17" t="s">
        <v>23</v>
      </c>
      <c r="B322" s="2">
        <v>46631</v>
      </c>
      <c r="D322" s="3">
        <v>37.646755599975592</v>
      </c>
      <c r="E322" s="3">
        <v>24.224323272705078</v>
      </c>
      <c r="F322" s="3">
        <v>44.224323272705078</v>
      </c>
      <c r="G322" t="s">
        <v>3</v>
      </c>
      <c r="I322" s="13">
        <v>86.3759765625</v>
      </c>
      <c r="J322" s="8"/>
      <c r="K322" s="13">
        <v>94.146484375</v>
      </c>
      <c r="L322" s="8"/>
      <c r="M322" s="13">
        <v>82.422958374023438</v>
      </c>
      <c r="N322" s="8"/>
    </row>
    <row r="323" spans="1:14" x14ac:dyDescent="0.25">
      <c r="A323" s="17" t="s">
        <v>23</v>
      </c>
      <c r="B323" s="2">
        <v>46661</v>
      </c>
      <c r="D323" s="3">
        <v>46.905493164062506</v>
      </c>
      <c r="E323" s="3">
        <v>32.641357421875</v>
      </c>
      <c r="F323" s="3">
        <v>52.641357421875</v>
      </c>
      <c r="G323" t="s">
        <v>3</v>
      </c>
      <c r="I323" s="13">
        <v>67.806350708007813</v>
      </c>
      <c r="J323" s="8"/>
      <c r="K323" s="13">
        <v>86.462287902832031</v>
      </c>
      <c r="L323" s="8"/>
      <c r="M323" s="13">
        <v>77.786170959472656</v>
      </c>
      <c r="N323" s="8"/>
    </row>
    <row r="324" spans="1:14" x14ac:dyDescent="0.25">
      <c r="B324" s="2">
        <v>46692</v>
      </c>
      <c r="D324" s="3">
        <v>5.7039331912994387</v>
      </c>
      <c r="E324" s="3">
        <v>-4.8146061897277832</v>
      </c>
      <c r="F324" s="3">
        <v>15.185393810272217</v>
      </c>
      <c r="G324" t="s">
        <v>3</v>
      </c>
      <c r="J324" s="8"/>
      <c r="L324" s="8"/>
      <c r="N324" s="8"/>
    </row>
    <row r="325" spans="1:14" x14ac:dyDescent="0.25">
      <c r="B325" s="2">
        <v>46722</v>
      </c>
      <c r="D325" s="3">
        <v>97.332073974609386</v>
      </c>
      <c r="E325" s="3">
        <v>78.48370361328125</v>
      </c>
      <c r="F325" s="3">
        <v>98.48370361328125</v>
      </c>
      <c r="G325" t="s">
        <v>3</v>
      </c>
      <c r="J325" s="8"/>
      <c r="L325" s="8"/>
      <c r="N325" s="8"/>
    </row>
    <row r="326" spans="1:14" x14ac:dyDescent="0.25">
      <c r="B326" s="2">
        <v>46753</v>
      </c>
      <c r="D326" s="3">
        <v>200.5988464355469</v>
      </c>
      <c r="E326" s="3">
        <v>190.5988464355469</v>
      </c>
      <c r="F326" s="3">
        <v>210.5988464355469</v>
      </c>
      <c r="G326" t="s">
        <v>3</v>
      </c>
      <c r="J326" s="8"/>
      <c r="L326" s="8"/>
      <c r="N326" s="8"/>
    </row>
    <row r="327" spans="1:14" x14ac:dyDescent="0.25">
      <c r="B327" s="2">
        <v>46784</v>
      </c>
      <c r="D327" s="3">
        <v>329.06863403320313</v>
      </c>
      <c r="E327" s="3">
        <v>319.06863403320313</v>
      </c>
      <c r="F327" s="3">
        <v>339.06863403320313</v>
      </c>
      <c r="G327" t="s">
        <v>3</v>
      </c>
      <c r="J327" s="8"/>
      <c r="L327" s="8"/>
      <c r="N327" s="8"/>
    </row>
    <row r="328" spans="1:14" x14ac:dyDescent="0.25">
      <c r="B328" s="2">
        <v>46813</v>
      </c>
      <c r="D328" s="3">
        <v>338.10491943359381</v>
      </c>
      <c r="E328" s="3">
        <v>328.10491943359381</v>
      </c>
      <c r="F328" s="3">
        <v>348.10491943359381</v>
      </c>
      <c r="G328" t="s">
        <v>3</v>
      </c>
      <c r="J328" s="8"/>
      <c r="L328" s="8"/>
      <c r="N328" s="8"/>
    </row>
    <row r="329" spans="1:14" x14ac:dyDescent="0.25">
      <c r="B329" s="2">
        <v>46844</v>
      </c>
      <c r="D329" s="3">
        <v>291.18716430664063</v>
      </c>
      <c r="E329" s="3">
        <v>281.18716430664063</v>
      </c>
      <c r="F329" s="3">
        <v>301.18716430664063</v>
      </c>
      <c r="G329" t="s">
        <v>3</v>
      </c>
      <c r="J329" s="8"/>
      <c r="L329" s="8"/>
      <c r="N329" s="8"/>
    </row>
    <row r="330" spans="1:14" x14ac:dyDescent="0.25">
      <c r="B330" s="2">
        <v>46874</v>
      </c>
      <c r="D330" s="3">
        <v>128.69793701171881</v>
      </c>
      <c r="E330" s="3">
        <v>118.69793701171881</v>
      </c>
      <c r="F330" s="3">
        <v>138.69793701171881</v>
      </c>
      <c r="G330" t="s">
        <v>3</v>
      </c>
      <c r="J330" s="8"/>
      <c r="L330" s="8"/>
      <c r="N330" s="8"/>
    </row>
    <row r="331" spans="1:14" x14ac:dyDescent="0.25">
      <c r="B331" s="2">
        <v>46905</v>
      </c>
      <c r="D331" s="3">
        <v>46.997318267822273</v>
      </c>
      <c r="E331" s="3">
        <v>36.997318267822273</v>
      </c>
      <c r="F331" s="3">
        <v>56.997318267822273</v>
      </c>
      <c r="G331" t="s">
        <v>3</v>
      </c>
      <c r="J331" s="8"/>
      <c r="L331" s="8"/>
      <c r="N331" s="8"/>
    </row>
    <row r="332" spans="1:14" x14ac:dyDescent="0.25">
      <c r="B332" s="2">
        <v>46935</v>
      </c>
      <c r="D332" s="3">
        <v>21.862272262573239</v>
      </c>
      <c r="E332" s="3">
        <v>11.862272262573239</v>
      </c>
      <c r="F332" s="3">
        <v>31.862272262573239</v>
      </c>
      <c r="G332" t="s">
        <v>3</v>
      </c>
      <c r="J332" s="8"/>
      <c r="L332" s="8"/>
      <c r="N332" s="8"/>
    </row>
    <row r="333" spans="1:14" x14ac:dyDescent="0.25">
      <c r="B333" s="2">
        <v>46966</v>
      </c>
      <c r="D333" s="3">
        <v>7.6370687484741202</v>
      </c>
      <c r="E333" s="3">
        <v>-2.3629312515258798</v>
      </c>
      <c r="F333" s="3">
        <v>17.637068748474121</v>
      </c>
      <c r="G333" t="s">
        <v>3</v>
      </c>
      <c r="J333" s="8"/>
      <c r="L333" s="8"/>
      <c r="N333" s="8"/>
    </row>
    <row r="334" spans="1:14" x14ac:dyDescent="0.25">
      <c r="B334" s="2">
        <v>46997</v>
      </c>
      <c r="D334" s="3">
        <v>46.637100219726563</v>
      </c>
      <c r="E334" s="3">
        <v>36.637100219726563</v>
      </c>
      <c r="F334" s="3">
        <v>56.637100219726563</v>
      </c>
      <c r="G334" t="s">
        <v>3</v>
      </c>
      <c r="J334" s="8"/>
      <c r="L334" s="8"/>
      <c r="N334" s="8"/>
    </row>
    <row r="335" spans="1:14" x14ac:dyDescent="0.25">
      <c r="B335" s="2">
        <v>47027</v>
      </c>
      <c r="D335" s="3">
        <v>4.2334766387939</v>
      </c>
      <c r="E335" s="3">
        <v>-5.7665233612061</v>
      </c>
      <c r="F335" s="3">
        <v>14.233476638793899</v>
      </c>
      <c r="G335" t="s">
        <v>3</v>
      </c>
      <c r="J335" s="8"/>
      <c r="L335" s="8"/>
      <c r="N335" s="8"/>
    </row>
    <row r="336" spans="1:14" x14ac:dyDescent="0.25">
      <c r="B336" s="2">
        <v>47058</v>
      </c>
      <c r="D336" s="3">
        <v>6.9344444274901997</v>
      </c>
      <c r="E336" s="3">
        <v>-3.0655555725098003</v>
      </c>
      <c r="F336" s="3">
        <v>16.934444427490199</v>
      </c>
      <c r="G336" t="s">
        <v>3</v>
      </c>
      <c r="J336" s="8"/>
      <c r="L336" s="8"/>
      <c r="N336" s="8"/>
    </row>
    <row r="337" spans="2:14" x14ac:dyDescent="0.25">
      <c r="B337" s="2">
        <v>47088</v>
      </c>
      <c r="D337" s="3">
        <v>2.2927241325378418</v>
      </c>
      <c r="E337" s="3">
        <v>-7.7072758674621582</v>
      </c>
      <c r="F337" s="3">
        <v>12.292724132537842</v>
      </c>
      <c r="G337" t="s">
        <v>3</v>
      </c>
      <c r="J337" s="8"/>
      <c r="L337" s="8"/>
      <c r="N337" s="8"/>
    </row>
    <row r="338" spans="2:14" x14ac:dyDescent="0.25">
      <c r="B338" s="2">
        <v>47119</v>
      </c>
      <c r="D338" s="3">
        <v>327.07500915527345</v>
      </c>
      <c r="E338" s="3">
        <v>182.3970642089844</v>
      </c>
      <c r="F338" s="3">
        <v>202.3970642089844</v>
      </c>
      <c r="G338" t="s">
        <v>3</v>
      </c>
      <c r="J338" s="8"/>
      <c r="L338" s="8"/>
      <c r="N338" s="8"/>
    </row>
    <row r="339" spans="2:14" x14ac:dyDescent="0.25">
      <c r="B339" s="2">
        <v>47150</v>
      </c>
      <c r="D339" s="3">
        <v>552.53283996582024</v>
      </c>
      <c r="E339" s="3">
        <v>315.01931762695313</v>
      </c>
      <c r="F339" s="3">
        <v>335.01931762695313</v>
      </c>
      <c r="G339" t="s">
        <v>3</v>
      </c>
      <c r="J339" s="8"/>
      <c r="L339" s="8"/>
      <c r="N339" s="8"/>
    </row>
    <row r="340" spans="2:14" x14ac:dyDescent="0.25">
      <c r="B340" s="2">
        <v>47178</v>
      </c>
      <c r="D340" s="3">
        <v>555.47282104492194</v>
      </c>
      <c r="E340" s="3">
        <v>316.74871826171881</v>
      </c>
      <c r="F340" s="3">
        <v>336.74871826171881</v>
      </c>
      <c r="G340" t="s">
        <v>3</v>
      </c>
      <c r="J340" s="8"/>
      <c r="L340" s="8"/>
      <c r="N340" s="8"/>
    </row>
    <row r="341" spans="2:14" x14ac:dyDescent="0.25">
      <c r="B341" s="2">
        <v>47209</v>
      </c>
      <c r="D341" s="3">
        <v>516.88721008300774</v>
      </c>
      <c r="E341" s="3">
        <v>294.05130004882813</v>
      </c>
      <c r="F341" s="3">
        <v>314.05130004882813</v>
      </c>
      <c r="G341" t="s">
        <v>3</v>
      </c>
      <c r="J341" s="8"/>
      <c r="L341" s="8"/>
      <c r="N341" s="8"/>
    </row>
    <row r="342" spans="2:14" x14ac:dyDescent="0.25">
      <c r="B342" s="2">
        <v>47239</v>
      </c>
      <c r="D342" s="3">
        <v>233.77277526855474</v>
      </c>
      <c r="E342" s="3">
        <v>127.5133972167969</v>
      </c>
      <c r="F342" s="3">
        <v>147.5133972167969</v>
      </c>
      <c r="G342" t="s">
        <v>3</v>
      </c>
      <c r="J342" s="8"/>
      <c r="L342" s="8"/>
      <c r="N342" s="8"/>
    </row>
    <row r="343" spans="2:14" x14ac:dyDescent="0.25">
      <c r="B343" s="2">
        <v>47270</v>
      </c>
      <c r="D343" s="3">
        <v>106.58156433105469</v>
      </c>
      <c r="E343" s="3">
        <v>52.695037841796882</v>
      </c>
      <c r="F343" s="3">
        <v>72.695037841796875</v>
      </c>
      <c r="G343" t="s">
        <v>3</v>
      </c>
      <c r="J343" s="8"/>
      <c r="L343" s="8"/>
      <c r="N343" s="8"/>
    </row>
    <row r="344" spans="2:14" x14ac:dyDescent="0.25">
      <c r="B344" s="2">
        <v>47300</v>
      </c>
      <c r="D344" s="3">
        <v>42.929098510742193</v>
      </c>
      <c r="E344" s="3">
        <v>15.252410888671879</v>
      </c>
      <c r="F344" s="3">
        <v>35.252410888671875</v>
      </c>
      <c r="G344" t="s">
        <v>3</v>
      </c>
      <c r="J344" s="8"/>
      <c r="L344" s="8"/>
      <c r="N344" s="8"/>
    </row>
    <row r="345" spans="2:14" x14ac:dyDescent="0.25">
      <c r="B345" s="2">
        <v>47331</v>
      </c>
      <c r="D345" s="3">
        <v>13.801981353759841</v>
      </c>
      <c r="E345" s="3">
        <v>-1.8811874389647993</v>
      </c>
      <c r="F345" s="3">
        <v>18.118812561035199</v>
      </c>
      <c r="G345" t="s">
        <v>3</v>
      </c>
      <c r="J345" s="8"/>
      <c r="L345" s="8"/>
      <c r="N345" s="8"/>
    </row>
    <row r="346" spans="2:14" x14ac:dyDescent="0.25">
      <c r="B346" s="2">
        <v>47362</v>
      </c>
      <c r="D346" s="3">
        <v>56.762019729614259</v>
      </c>
      <c r="E346" s="3">
        <v>23.389423370361328</v>
      </c>
      <c r="F346" s="3">
        <v>43.389423370361328</v>
      </c>
      <c r="G346" t="s">
        <v>3</v>
      </c>
      <c r="J346" s="8"/>
      <c r="L346" s="8"/>
      <c r="N346" s="8"/>
    </row>
    <row r="347" spans="2:14" x14ac:dyDescent="0.25">
      <c r="B347" s="2">
        <v>47392</v>
      </c>
      <c r="D347" s="3">
        <v>6.5161765098571101</v>
      </c>
      <c r="E347" s="3">
        <v>-6.1669549942017001</v>
      </c>
      <c r="F347" s="3">
        <v>13.833045005798301</v>
      </c>
      <c r="G347" t="s">
        <v>3</v>
      </c>
      <c r="J347" s="8"/>
      <c r="L347" s="8"/>
      <c r="N347" s="8"/>
    </row>
    <row r="348" spans="2:14" x14ac:dyDescent="0.25">
      <c r="B348" s="2">
        <v>47423</v>
      </c>
      <c r="D348" s="3">
        <v>8.9976123809814386</v>
      </c>
      <c r="E348" s="3">
        <v>-4.7072868347168004</v>
      </c>
      <c r="F348" s="3">
        <v>15.2927131652832</v>
      </c>
      <c r="G348" t="s">
        <v>3</v>
      </c>
      <c r="J348" s="8"/>
      <c r="L348" s="8"/>
      <c r="N348" s="8"/>
    </row>
    <row r="349" spans="2:14" x14ac:dyDescent="0.25">
      <c r="B349" s="2">
        <v>47453</v>
      </c>
      <c r="D349" s="3">
        <v>40.507355308532709</v>
      </c>
      <c r="E349" s="3">
        <v>13.82785606384277</v>
      </c>
      <c r="F349" s="3">
        <v>33.827856063842773</v>
      </c>
      <c r="G349" t="s">
        <v>3</v>
      </c>
      <c r="J349" s="8"/>
      <c r="L349" s="8"/>
      <c r="N349" s="8"/>
    </row>
    <row r="350" spans="2:14" x14ac:dyDescent="0.25">
      <c r="B350" s="2">
        <v>47484</v>
      </c>
      <c r="D350" s="3">
        <v>184.9896545410156</v>
      </c>
      <c r="E350" s="3">
        <v>174.9896545410156</v>
      </c>
      <c r="F350" s="3">
        <v>194.9896545410156</v>
      </c>
      <c r="G350" t="s">
        <v>3</v>
      </c>
      <c r="J350" s="8"/>
      <c r="L350" s="8"/>
      <c r="N350" s="8"/>
    </row>
    <row r="351" spans="2:14" x14ac:dyDescent="0.25">
      <c r="B351" s="2">
        <v>47515</v>
      </c>
      <c r="D351" s="3">
        <v>320.98150634765619</v>
      </c>
      <c r="E351" s="3">
        <v>310.98150634765619</v>
      </c>
      <c r="F351" s="3">
        <v>330.98150634765619</v>
      </c>
      <c r="G351" t="s">
        <v>3</v>
      </c>
      <c r="J351" s="8"/>
      <c r="L351" s="8"/>
      <c r="N351" s="8"/>
    </row>
    <row r="352" spans="2:14" x14ac:dyDescent="0.25">
      <c r="B352" s="2">
        <v>47543</v>
      </c>
      <c r="D352" s="3">
        <v>614.04620361328102</v>
      </c>
      <c r="E352" s="3">
        <v>604.04620361328102</v>
      </c>
      <c r="F352" s="3">
        <v>624.04620361328102</v>
      </c>
      <c r="G352" t="s">
        <v>3</v>
      </c>
      <c r="J352" s="8"/>
      <c r="L352" s="8"/>
      <c r="N352" s="8"/>
    </row>
    <row r="353" spans="2:15" x14ac:dyDescent="0.25">
      <c r="B353" s="2">
        <v>47574</v>
      </c>
      <c r="D353" s="3">
        <v>317.38461303710938</v>
      </c>
      <c r="E353" s="3">
        <v>307.38461303710938</v>
      </c>
      <c r="F353" s="3">
        <v>327.38461303710938</v>
      </c>
      <c r="G353" t="s">
        <v>3</v>
      </c>
      <c r="J353" s="8"/>
      <c r="L353" s="8"/>
      <c r="N353" s="8"/>
    </row>
    <row r="354" spans="2:15" x14ac:dyDescent="0.25">
      <c r="B354" s="2">
        <v>47604</v>
      </c>
      <c r="D354" s="3">
        <v>146.5292663574219</v>
      </c>
      <c r="E354" s="3">
        <v>136.5292663574219</v>
      </c>
      <c r="F354" s="3">
        <v>156.5292663574219</v>
      </c>
      <c r="G354" t="s">
        <v>3</v>
      </c>
      <c r="J354" s="8"/>
      <c r="L354" s="8"/>
      <c r="N354" s="8"/>
    </row>
    <row r="355" spans="2:15" x14ac:dyDescent="0.25">
      <c r="B355" s="2">
        <v>47635</v>
      </c>
      <c r="D355" s="3">
        <v>78.029258728027344</v>
      </c>
      <c r="E355" s="3">
        <v>68.029258728027344</v>
      </c>
      <c r="F355" s="3">
        <v>88.029258728027344</v>
      </c>
      <c r="G355" t="s">
        <v>3</v>
      </c>
      <c r="J355" s="8"/>
      <c r="L355" s="8"/>
      <c r="N355" s="8"/>
    </row>
    <row r="356" spans="2:15" x14ac:dyDescent="0.25">
      <c r="B356" s="2">
        <v>47665</v>
      </c>
      <c r="D356" s="3">
        <v>28.214191436767582</v>
      </c>
      <c r="E356" s="3">
        <v>18.214191436767582</v>
      </c>
      <c r="F356" s="3">
        <v>38.214191436767578</v>
      </c>
      <c r="G356" t="s">
        <v>3</v>
      </c>
      <c r="J356" s="8"/>
      <c r="L356" s="8"/>
      <c r="N356" s="8"/>
    </row>
    <row r="357" spans="2:15" x14ac:dyDescent="0.25">
      <c r="B357" s="2">
        <v>47696</v>
      </c>
      <c r="D357" s="3">
        <v>8.8056411743163991</v>
      </c>
      <c r="E357" s="3">
        <v>-1.1943588256836009</v>
      </c>
      <c r="F357" s="3">
        <v>18.805641174316399</v>
      </c>
      <c r="G357" t="s">
        <v>3</v>
      </c>
      <c r="J357" s="8"/>
      <c r="L357" s="8"/>
      <c r="N357" s="8"/>
    </row>
    <row r="358" spans="2:15" x14ac:dyDescent="0.25">
      <c r="B358" s="2">
        <v>47727</v>
      </c>
      <c r="D358" s="3">
        <v>20.345209121704102</v>
      </c>
      <c r="E358" s="3">
        <v>10.345209121704102</v>
      </c>
      <c r="F358" s="3">
        <v>30.345209121704102</v>
      </c>
      <c r="G358" t="s">
        <v>3</v>
      </c>
      <c r="J358" s="8"/>
      <c r="L358" s="8"/>
      <c r="N358" s="8"/>
    </row>
    <row r="359" spans="2:15" x14ac:dyDescent="0.25">
      <c r="B359" s="2">
        <v>47757</v>
      </c>
      <c r="D359" s="3">
        <v>2.8812775611877401</v>
      </c>
      <c r="E359" s="3">
        <v>-7.1187224388122594</v>
      </c>
      <c r="F359" s="3">
        <v>12.881277561187741</v>
      </c>
      <c r="G359" t="s">
        <v>3</v>
      </c>
      <c r="J359" s="8"/>
      <c r="L359" s="8"/>
      <c r="N359" s="8"/>
    </row>
    <row r="360" spans="2:15" x14ac:dyDescent="0.25">
      <c r="J360" s="8"/>
      <c r="L360" s="8"/>
      <c r="N360" s="8"/>
    </row>
    <row r="361" spans="2:15" x14ac:dyDescent="0.25">
      <c r="J361" s="8"/>
      <c r="L361" s="8"/>
      <c r="N361" s="8"/>
    </row>
    <row r="362" spans="2:15" x14ac:dyDescent="0.25">
      <c r="D362" s="16" t="s">
        <v>17</v>
      </c>
      <c r="E362" s="16"/>
      <c r="I362" s="16" t="s">
        <v>18</v>
      </c>
      <c r="J362" s="16"/>
      <c r="K362" s="16" t="s">
        <v>19</v>
      </c>
      <c r="L362" s="16"/>
      <c r="N362" s="16" t="s">
        <v>19</v>
      </c>
      <c r="O362" s="16"/>
    </row>
    <row r="363" spans="2:15" x14ac:dyDescent="0.25">
      <c r="C363" s="3" t="s">
        <v>24</v>
      </c>
      <c r="D363" s="11" t="s">
        <v>6</v>
      </c>
      <c r="E363" s="11" t="s">
        <v>5</v>
      </c>
      <c r="G363" t="s">
        <v>16</v>
      </c>
      <c r="I363" s="11" t="s">
        <v>6</v>
      </c>
      <c r="J363" s="11" t="s">
        <v>5</v>
      </c>
      <c r="K363" s="11" t="s">
        <v>6</v>
      </c>
      <c r="L363" s="11" t="s">
        <v>5</v>
      </c>
      <c r="N363" s="11" t="s">
        <v>6</v>
      </c>
      <c r="O363" s="11" t="s">
        <v>5</v>
      </c>
    </row>
    <row r="364" spans="2:15" x14ac:dyDescent="0.25">
      <c r="D364" s="18">
        <f>AVERAGE(H2:H294)</f>
        <v>0.40504193684776613</v>
      </c>
      <c r="E364" s="10">
        <f>1-D364</f>
        <v>0.59495806315223387</v>
      </c>
      <c r="G364" s="9">
        <f>1-D364</f>
        <v>0.59495806315223387</v>
      </c>
      <c r="I364" s="10">
        <f>AVERAGE(J2:J294)</f>
        <v>0.49812960163114312</v>
      </c>
      <c r="J364" s="10">
        <f>1-I364</f>
        <v>0.50187039836885683</v>
      </c>
      <c r="K364" s="10">
        <f>AVERAGE(L2:L294)</f>
        <v>0.52874758862210258</v>
      </c>
      <c r="L364" s="10">
        <f>1-K364</f>
        <v>0.47125241137789742</v>
      </c>
      <c r="N364" s="10">
        <f>AVERAGE(N2:N293)</f>
        <v>0.44758910102157523</v>
      </c>
      <c r="O364" s="10">
        <f>1-N364</f>
        <v>0.55241089897842477</v>
      </c>
    </row>
  </sheetData>
  <autoFilter ref="B1:G729" xr:uid="{00000000-0001-0000-0000-000000000000}"/>
  <mergeCells count="4">
    <mergeCell ref="D362:E362"/>
    <mergeCell ref="I362:J362"/>
    <mergeCell ref="K362:L362"/>
    <mergeCell ref="N362:O362"/>
  </mergeCells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0754b47-c413-4aa1-bfc3-c33089241f4f}" enabled="1" method="Standard" siteId="{e339bd4b-2e3b-4035-a452-2112d502f2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XAVIER SOLIZ VILLAFUERTE</cp:lastModifiedBy>
  <dcterms:created xsi:type="dcterms:W3CDTF">2024-10-27T02:32:42Z</dcterms:created>
  <dcterms:modified xsi:type="dcterms:W3CDTF">2025-11-24T01:23:51Z</dcterms:modified>
</cp:coreProperties>
</file>