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6F250E98-32CA-4E2B-9D74-9695C097D0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Sheet1!$B$1:$G$359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2" i="1"/>
  <c r="J299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8" i="1"/>
  <c r="J289" i="1"/>
  <c r="J290" i="1"/>
  <c r="J291" i="1"/>
  <c r="J292" i="1"/>
  <c r="J293" i="1"/>
  <c r="J294" i="1"/>
  <c r="J295" i="1"/>
  <c r="J296" i="1"/>
  <c r="J297" i="1"/>
  <c r="J298" i="1"/>
  <c r="J2" i="1"/>
  <c r="H2" i="1"/>
  <c r="H299" i="1"/>
  <c r="H29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8" i="1"/>
  <c r="H289" i="1"/>
  <c r="H290" i="1"/>
  <c r="H291" i="1"/>
  <c r="H292" i="1"/>
  <c r="H293" i="1"/>
  <c r="H294" i="1"/>
  <c r="H295" i="1"/>
  <c r="H296" i="1"/>
  <c r="H297" i="1"/>
  <c r="D304" i="1" l="1"/>
  <c r="C287" i="1"/>
  <c r="H287" i="1" l="1"/>
  <c r="F364" i="1" s="1"/>
  <c r="G364" i="1" s="1"/>
  <c r="L287" i="1"/>
  <c r="L364" i="1" s="1"/>
  <c r="M364" i="1" s="1"/>
  <c r="N287" i="1"/>
  <c r="O364" i="1" s="1"/>
  <c r="P364" i="1" s="1"/>
  <c r="J287" i="1"/>
  <c r="I364" i="1" s="1"/>
  <c r="J364" i="1" s="1"/>
</calcChain>
</file>

<file path=xl/sharedStrings.xml><?xml version="1.0" encoding="utf-8"?>
<sst xmlns="http://schemas.openxmlformats.org/spreadsheetml/2006/main" count="706" uniqueCount="24">
  <si>
    <t>Pronóstico Inferior</t>
  </si>
  <si>
    <t>Pronóstico Superior</t>
  </si>
  <si>
    <t>Ciudad</t>
  </si>
  <si>
    <t>Quito</t>
  </si>
  <si>
    <t>Pronóstico (SARIMAX)</t>
  </si>
  <si>
    <t>MAPE</t>
  </si>
  <si>
    <t>Asertividad</t>
  </si>
  <si>
    <t>Fecha</t>
  </si>
  <si>
    <t>MAPE_Sarimax</t>
  </si>
  <si>
    <t>Precipitación</t>
  </si>
  <si>
    <t>Ajuste y Pronóstico (Modelo 1)
(Train, test, forecast)</t>
  </si>
  <si>
    <t>QUITO SARIMAX</t>
  </si>
  <si>
    <t>QUITO MODELO 1</t>
  </si>
  <si>
    <t>MAPE_MODELO 1</t>
  </si>
  <si>
    <t>Ajuste y Pronóstico (Modelo 2)
(Train, test, forecast)</t>
  </si>
  <si>
    <t>MAPE_MODELO 2</t>
  </si>
  <si>
    <t>QUITO MODELO 2</t>
  </si>
  <si>
    <t>Ajuste y Pronóstico (Modelo 3)
(Train, test, forecast)</t>
  </si>
  <si>
    <t>MAPE_MODELO 3</t>
  </si>
  <si>
    <t>QUITO MODELO 3</t>
  </si>
  <si>
    <t>Train/test/forescast</t>
  </si>
  <si>
    <t>Train</t>
  </si>
  <si>
    <t>Test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</si>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</sst>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164" fontId="0" fillId="2" borderId="0" xfId="0" applyNumberFormat="1" applyFill="1"/>
    <xf numFmtId="2" fontId="0" fillId="2" borderId="0" xfId="0" applyNumberFormat="1" applyFill="1"/>
    <xf numFmtId="0" fontId="0" fillId="2" borderId="0" xfId="0" applyFill="1"/>
    <xf numFmtId="0" fontId="1" fillId="0" borderId="2" xfId="0" applyFont="1" applyBorder="1" applyAlignment="1">
      <alignment horizontal="center" vertical="top"/>
    </xf>
    <xf numFmtId="9" fontId="0" fillId="0" borderId="0" xfId="1" applyFont="1"/>
    <xf numFmtId="0" fontId="4" fillId="0" borderId="0" xfId="0" applyFont="1"/>
    <xf numFmtId="9" fontId="4" fillId="2" borderId="0" xfId="0" applyNumberFormat="1" applyFont="1" applyFill="1"/>
    <xf numFmtId="9" fontId="0" fillId="2" borderId="0" xfId="1" applyFont="1" applyFill="1"/>
    <xf numFmtId="0" fontId="1" fillId="0" borderId="1" xfId="0" applyFont="1" applyBorder="1" applyAlignment="1">
      <alignment horizontal="center" vertical="top" wrapText="1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9" fontId="4" fillId="3" borderId="0" xfId="0" applyNumberFormat="1" applyFont="1" applyFill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4"/>
  <sheetViews>
    <sheetView tabSelected="1" zoomScale="90" zoomScaleNormal="90" workbookViewId="0">
      <pane ySplit="1" topLeftCell="A2" activePane="bottomLeft" state="frozen"/>
      <selection pane="bottomLeft" sqref="A1:A1048576"/>
    </sheetView>
  </sheetViews>
  <sheetFormatPr baseColWidth="10" defaultColWidth="8.85546875" defaultRowHeight="15" x14ac:dyDescent="0.25"/>
  <cols>
    <col min="1" max="1" width="18.7109375" style="19" bestFit="1" customWidth="1"/>
    <col min="2" max="2" width="19.5703125" bestFit="1" customWidth="1"/>
    <col min="3" max="3" width="23.42578125" style="3" bestFit="1" customWidth="1"/>
    <col min="4" max="4" width="24.5703125" style="3" bestFit="1" customWidth="1"/>
    <col min="5" max="5" width="38.42578125" style="3" customWidth="1"/>
    <col min="6" max="6" width="23.42578125" style="3" bestFit="1" customWidth="1"/>
    <col min="7" max="7" width="12" bestFit="1" customWidth="1"/>
    <col min="8" max="8" width="14.28515625" bestFit="1" customWidth="1"/>
    <col min="9" max="9" width="28.7109375" bestFit="1" customWidth="1"/>
    <col min="10" max="11" width="17.140625" customWidth="1"/>
    <col min="12" max="12" width="16.7109375" bestFit="1" customWidth="1"/>
    <col min="13" max="13" width="14.85546875" bestFit="1" customWidth="1"/>
    <col min="14" max="14" width="16.7109375" bestFit="1" customWidth="1"/>
    <col min="15" max="15" width="8.42578125" bestFit="1" customWidth="1"/>
    <col min="16" max="16" width="11.140625" bestFit="1" customWidth="1"/>
  </cols>
  <sheetData>
    <row r="1" spans="1:14" ht="75" x14ac:dyDescent="0.25">
      <c r="A1" s="19" t="s">
        <v>20</v>
      </c>
      <c r="B1" s="1" t="s">
        <v>7</v>
      </c>
      <c r="C1" s="1" t="s">
        <v>9</v>
      </c>
      <c r="D1" s="1" t="s">
        <v>4</v>
      </c>
      <c r="E1" s="1" t="s">
        <v>0</v>
      </c>
      <c r="F1" s="1" t="s">
        <v>1</v>
      </c>
      <c r="G1" s="1" t="s">
        <v>2</v>
      </c>
      <c r="H1" s="7" t="s">
        <v>8</v>
      </c>
      <c r="I1" s="12" t="s">
        <v>10</v>
      </c>
      <c r="J1" s="7" t="s">
        <v>13</v>
      </c>
      <c r="K1" s="12" t="s">
        <v>14</v>
      </c>
      <c r="L1" s="7" t="s">
        <v>15</v>
      </c>
      <c r="M1" s="12" t="s">
        <v>17</v>
      </c>
      <c r="N1" s="7" t="s">
        <v>18</v>
      </c>
    </row>
    <row r="2" spans="1:14" x14ac:dyDescent="0.25">
      <c r="A2" s="19" t="s">
        <v>21</v>
      </c>
      <c r="B2" s="2">
        <v>36922</v>
      </c>
      <c r="C2" s="3">
        <v>274.52</v>
      </c>
      <c r="D2" s="3">
        <v>298.5546875</v>
      </c>
      <c r="E2" s="3">
        <v>268.5546875</v>
      </c>
      <c r="F2" s="3">
        <v>328.5546875</v>
      </c>
      <c r="G2" t="s">
        <v>3</v>
      </c>
      <c r="H2" s="8">
        <f>IFERROR(ABS((C2-D2)/C2),0)</f>
        <v>8.7551681116130042E-2</v>
      </c>
      <c r="I2" s="13">
        <v>303.0849609375</v>
      </c>
      <c r="J2" s="8">
        <f>IFERROR(ABS((C2-I2)/C2),0)</f>
        <v>0.10405420711605719</v>
      </c>
      <c r="K2" s="13">
        <v>289.395263671875</v>
      </c>
      <c r="L2" s="8">
        <f>IFERROR(ABS((C2-K2)/C2),0)</f>
        <v>5.4186447879480619E-2</v>
      </c>
      <c r="M2" s="3">
        <v>282.37420654296881</v>
      </c>
      <c r="N2" s="8">
        <f>IFERROR(ABS((C2-M2)/M2),0)</f>
        <v>2.7814886632620436E-2</v>
      </c>
    </row>
    <row r="3" spans="1:14" x14ac:dyDescent="0.25">
      <c r="A3" s="19" t="s">
        <v>21</v>
      </c>
      <c r="B3" s="2">
        <v>36950</v>
      </c>
      <c r="C3" s="3">
        <v>255.48</v>
      </c>
      <c r="D3" s="3">
        <v>245.25531005859381</v>
      </c>
      <c r="E3" s="3">
        <v>215.25531005859381</v>
      </c>
      <c r="F3" s="3">
        <v>275.25531005859381</v>
      </c>
      <c r="G3" t="s">
        <v>3</v>
      </c>
      <c r="H3" s="8">
        <f t="shared" ref="H3:H53" si="0">IFERROR(ABS((C3-D3)/C3),0)</f>
        <v>4.0021488732606011E-2</v>
      </c>
      <c r="I3" s="13">
        <v>266.39895629882813</v>
      </c>
      <c r="J3" s="8">
        <f t="shared" ref="J3:J66" si="1">IFERROR(ABS((C3-I3)/C3),0)</f>
        <v>4.2738986608846626E-2</v>
      </c>
      <c r="K3" s="13">
        <v>284.56707763671881</v>
      </c>
      <c r="L3" s="8">
        <f t="shared" ref="L3:L66" si="2">IFERROR(ABS((C3-K3)/C3),0)</f>
        <v>0.11385266023453428</v>
      </c>
      <c r="M3" s="3">
        <v>272.097412109375</v>
      </c>
      <c r="N3" s="8">
        <f t="shared" ref="N3:N66" si="3">IFERROR(ABS((C3-M3)/M3),0)</f>
        <v>6.1071555148401444E-2</v>
      </c>
    </row>
    <row r="4" spans="1:14" x14ac:dyDescent="0.25">
      <c r="A4" s="19" t="s">
        <v>21</v>
      </c>
      <c r="B4" s="2">
        <v>36981</v>
      </c>
      <c r="C4" s="3">
        <v>325.32</v>
      </c>
      <c r="D4" s="3">
        <v>322.4039306640625</v>
      </c>
      <c r="E4" s="3">
        <v>292.4039306640625</v>
      </c>
      <c r="F4" s="3">
        <v>352.4039306640625</v>
      </c>
      <c r="G4" t="s">
        <v>3</v>
      </c>
      <c r="H4" s="8">
        <f t="shared" si="0"/>
        <v>8.9636952414161239E-3</v>
      </c>
      <c r="I4" s="13">
        <v>284.628173828125</v>
      </c>
      <c r="J4" s="8">
        <f t="shared" si="1"/>
        <v>0.12508246087506145</v>
      </c>
      <c r="K4" s="13">
        <v>312.79904174804688</v>
      </c>
      <c r="L4" s="8">
        <f t="shared" si="2"/>
        <v>3.8488129386306157E-2</v>
      </c>
      <c r="M4" s="3">
        <v>307.57180786132813</v>
      </c>
      <c r="N4" s="8">
        <f t="shared" si="3"/>
        <v>5.7704222835253553E-2</v>
      </c>
    </row>
    <row r="5" spans="1:14" x14ac:dyDescent="0.25">
      <c r="A5" s="19" t="s">
        <v>21</v>
      </c>
      <c r="B5" s="2">
        <v>37011</v>
      </c>
      <c r="C5" s="3">
        <v>185.15</v>
      </c>
      <c r="D5" s="3">
        <v>303.44094848632813</v>
      </c>
      <c r="E5" s="3">
        <v>273.44094848632813</v>
      </c>
      <c r="F5" s="3">
        <v>333.44094848632813</v>
      </c>
      <c r="G5" t="s">
        <v>3</v>
      </c>
      <c r="H5" s="8">
        <f t="shared" si="0"/>
        <v>0.63889251140333847</v>
      </c>
      <c r="I5" s="13">
        <v>317.50918579101563</v>
      </c>
      <c r="J5" s="8">
        <f t="shared" si="1"/>
        <v>0.7148754296031089</v>
      </c>
      <c r="K5" s="13">
        <v>323.21090698242188</v>
      </c>
      <c r="L5" s="8">
        <f t="shared" si="2"/>
        <v>0.74567057511434975</v>
      </c>
      <c r="M5" s="3">
        <v>272.513427734375</v>
      </c>
      <c r="N5" s="8">
        <f t="shared" si="3"/>
        <v>0.32058393768225651</v>
      </c>
    </row>
    <row r="6" spans="1:14" x14ac:dyDescent="0.25">
      <c r="A6" s="19" t="s">
        <v>21</v>
      </c>
      <c r="B6" s="2">
        <v>37042</v>
      </c>
      <c r="C6" s="3">
        <v>226.57</v>
      </c>
      <c r="D6" s="3">
        <v>235.47412109375</v>
      </c>
      <c r="E6" s="3">
        <v>205.47412109375</v>
      </c>
      <c r="F6" s="3">
        <v>265.47412109375</v>
      </c>
      <c r="G6" t="s">
        <v>3</v>
      </c>
      <c r="H6" s="8">
        <f t="shared" si="0"/>
        <v>3.9299647322019716E-2</v>
      </c>
      <c r="I6" s="13">
        <v>248.6393737792969</v>
      </c>
      <c r="J6" s="8">
        <f t="shared" si="1"/>
        <v>9.7406425295921403E-2</v>
      </c>
      <c r="K6" s="13">
        <v>255.198486328125</v>
      </c>
      <c r="L6" s="8">
        <f t="shared" si="2"/>
        <v>0.1263560326968487</v>
      </c>
      <c r="M6" s="3">
        <v>235.5508728027344</v>
      </c>
      <c r="N6" s="8">
        <f t="shared" si="3"/>
        <v>3.8127104756073546E-2</v>
      </c>
    </row>
    <row r="7" spans="1:14" x14ac:dyDescent="0.25">
      <c r="A7" s="19" t="s">
        <v>21</v>
      </c>
      <c r="B7" s="2">
        <v>37072</v>
      </c>
      <c r="C7" s="3">
        <v>99.9</v>
      </c>
      <c r="D7" s="3">
        <v>149.91326904296881</v>
      </c>
      <c r="E7" s="3">
        <v>119.91326904296881</v>
      </c>
      <c r="F7" s="3">
        <v>179.91326904296881</v>
      </c>
      <c r="G7" t="s">
        <v>3</v>
      </c>
      <c r="H7" s="8">
        <f t="shared" si="0"/>
        <v>0.50063332375344138</v>
      </c>
      <c r="I7" s="13">
        <v>136.30354309082031</v>
      </c>
      <c r="J7" s="8">
        <f t="shared" si="1"/>
        <v>0.364399830738942</v>
      </c>
      <c r="K7" s="13">
        <v>139.44285583496091</v>
      </c>
      <c r="L7" s="8">
        <f t="shared" si="2"/>
        <v>0.39582438273234133</v>
      </c>
      <c r="M7" s="3">
        <v>121.90883636474609</v>
      </c>
      <c r="N7" s="8">
        <f t="shared" si="3"/>
        <v>0.18053520172152721</v>
      </c>
    </row>
    <row r="8" spans="1:14" x14ac:dyDescent="0.25">
      <c r="A8" s="19" t="s">
        <v>21</v>
      </c>
      <c r="B8" s="2">
        <v>37103</v>
      </c>
      <c r="C8" s="3">
        <v>142.88</v>
      </c>
      <c r="D8" s="3">
        <v>107.9466857910156</v>
      </c>
      <c r="E8" s="3">
        <v>77.946685791015597</v>
      </c>
      <c r="F8" s="3">
        <v>137.9466857910156</v>
      </c>
      <c r="G8" t="s">
        <v>3</v>
      </c>
      <c r="H8" s="8">
        <f t="shared" si="0"/>
        <v>0.24449408041002518</v>
      </c>
      <c r="I8" s="13">
        <v>108.19146728515619</v>
      </c>
      <c r="J8" s="8">
        <f t="shared" si="1"/>
        <v>0.24278088406245663</v>
      </c>
      <c r="K8" s="13">
        <v>96.96014404296875</v>
      </c>
      <c r="L8" s="8">
        <f t="shared" si="2"/>
        <v>0.32138756968806864</v>
      </c>
      <c r="M8" s="3">
        <v>119.1471252441406</v>
      </c>
      <c r="N8" s="8">
        <f t="shared" si="3"/>
        <v>0.19918965486770343</v>
      </c>
    </row>
    <row r="9" spans="1:14" x14ac:dyDescent="0.25">
      <c r="A9" s="19" t="s">
        <v>21</v>
      </c>
      <c r="B9" s="2">
        <v>37134</v>
      </c>
      <c r="C9" s="3">
        <v>61.66</v>
      </c>
      <c r="D9" s="3">
        <v>111.0391540527344</v>
      </c>
      <c r="E9" s="3">
        <v>81.039154052734403</v>
      </c>
      <c r="F9" s="3">
        <v>141.0391540527344</v>
      </c>
      <c r="G9" t="s">
        <v>3</v>
      </c>
      <c r="H9" s="8">
        <f t="shared" si="0"/>
        <v>0.80082961486757065</v>
      </c>
      <c r="I9" s="13">
        <v>100.765869140625</v>
      </c>
      <c r="J9" s="8">
        <f t="shared" si="1"/>
        <v>0.63421779339320472</v>
      </c>
      <c r="K9" s="13">
        <v>103.7734832763672</v>
      </c>
      <c r="L9" s="8">
        <f t="shared" si="2"/>
        <v>0.68299518774517043</v>
      </c>
      <c r="M9" s="3">
        <v>124.216926574707</v>
      </c>
      <c r="N9" s="8">
        <f t="shared" si="3"/>
        <v>0.50361032348585588</v>
      </c>
    </row>
    <row r="10" spans="1:14" x14ac:dyDescent="0.25">
      <c r="A10" s="19" t="s">
        <v>21</v>
      </c>
      <c r="B10" s="2">
        <v>37164</v>
      </c>
      <c r="C10" s="3">
        <v>219.68</v>
      </c>
      <c r="D10" s="3">
        <v>182.49647521972659</v>
      </c>
      <c r="E10" s="3">
        <v>152.49647521972659</v>
      </c>
      <c r="F10" s="3">
        <v>212.49647521972659</v>
      </c>
      <c r="G10" t="s">
        <v>3</v>
      </c>
      <c r="H10" s="8">
        <f t="shared" si="0"/>
        <v>0.1692622213231674</v>
      </c>
      <c r="I10" s="13">
        <v>161.8329162597656</v>
      </c>
      <c r="J10" s="8">
        <f t="shared" si="1"/>
        <v>0.26332430690201386</v>
      </c>
      <c r="K10" s="13">
        <v>169.22520446777341</v>
      </c>
      <c r="L10" s="8">
        <f t="shared" si="2"/>
        <v>0.22967405103890476</v>
      </c>
      <c r="M10" s="3">
        <v>198.69566345214841</v>
      </c>
      <c r="N10" s="8">
        <f t="shared" si="3"/>
        <v>0.10561044052632394</v>
      </c>
    </row>
    <row r="11" spans="1:14" x14ac:dyDescent="0.25">
      <c r="A11" s="19" t="s">
        <v>21</v>
      </c>
      <c r="B11" s="2">
        <v>37195</v>
      </c>
      <c r="C11" s="3">
        <v>182.79</v>
      </c>
      <c r="D11" s="3">
        <v>256.35751342773438</v>
      </c>
      <c r="E11" s="3">
        <v>226.35751342773438</v>
      </c>
      <c r="F11" s="3">
        <v>286.35751342773438</v>
      </c>
      <c r="G11" t="s">
        <v>3</v>
      </c>
      <c r="H11" s="8">
        <f t="shared" si="0"/>
        <v>0.40247012105549751</v>
      </c>
      <c r="I11" s="13">
        <v>233.51106262207031</v>
      </c>
      <c r="J11" s="8">
        <f t="shared" si="1"/>
        <v>0.27748269939313047</v>
      </c>
      <c r="K11" s="13">
        <v>258.5223388671875</v>
      </c>
      <c r="L11" s="8">
        <f t="shared" si="2"/>
        <v>0.41431335886639048</v>
      </c>
      <c r="M11" s="3">
        <v>245.51429748535159</v>
      </c>
      <c r="N11" s="8">
        <f t="shared" si="3"/>
        <v>0.25548124132809003</v>
      </c>
    </row>
    <row r="12" spans="1:14" x14ac:dyDescent="0.25">
      <c r="A12" s="19" t="s">
        <v>21</v>
      </c>
      <c r="B12" s="2">
        <v>37225</v>
      </c>
      <c r="C12" s="3">
        <v>324.64999999999998</v>
      </c>
      <c r="D12" s="3">
        <v>262.55230712890619</v>
      </c>
      <c r="E12" s="3">
        <v>232.55230712890619</v>
      </c>
      <c r="F12" s="3">
        <v>292.55230712890619</v>
      </c>
      <c r="G12" t="s">
        <v>3</v>
      </c>
      <c r="H12" s="8">
        <f t="shared" si="0"/>
        <v>0.19127581355642628</v>
      </c>
      <c r="I12" s="13">
        <v>292.41177368164063</v>
      </c>
      <c r="J12" s="8">
        <f t="shared" si="1"/>
        <v>9.9301482576187761E-2</v>
      </c>
      <c r="K12" s="13">
        <v>281.28060913085938</v>
      </c>
      <c r="L12" s="8">
        <f t="shared" si="2"/>
        <v>0.13358814375216574</v>
      </c>
      <c r="M12" s="3">
        <v>295.42111206054688</v>
      </c>
      <c r="N12" s="8">
        <f t="shared" si="3"/>
        <v>9.8939739734858936E-2</v>
      </c>
    </row>
    <row r="13" spans="1:14" x14ac:dyDescent="0.25">
      <c r="A13" s="19" t="s">
        <v>21</v>
      </c>
      <c r="B13" s="2">
        <v>37256</v>
      </c>
      <c r="C13" s="3">
        <v>342.57</v>
      </c>
      <c r="D13" s="3">
        <v>312.53338623046881</v>
      </c>
      <c r="E13" s="3">
        <v>282.53338623046881</v>
      </c>
      <c r="F13" s="3">
        <v>342.53338623046881</v>
      </c>
      <c r="G13" t="s">
        <v>3</v>
      </c>
      <c r="H13" s="8">
        <f t="shared" si="0"/>
        <v>8.7680222347348527E-2</v>
      </c>
      <c r="I13" s="13">
        <v>284.9427490234375</v>
      </c>
      <c r="J13" s="8">
        <f t="shared" si="1"/>
        <v>0.16822036657197798</v>
      </c>
      <c r="K13" s="13">
        <v>275.75918579101563</v>
      </c>
      <c r="L13" s="8">
        <f t="shared" si="2"/>
        <v>0.19502821090283554</v>
      </c>
      <c r="M13" s="3">
        <v>297.82125854492188</v>
      </c>
      <c r="N13" s="8">
        <f t="shared" si="3"/>
        <v>0.15025368462180627</v>
      </c>
    </row>
    <row r="14" spans="1:14" x14ac:dyDescent="0.25">
      <c r="A14" s="19" t="s">
        <v>21</v>
      </c>
      <c r="B14" s="2">
        <v>37287</v>
      </c>
      <c r="C14" s="3">
        <v>240.19</v>
      </c>
      <c r="D14" s="3">
        <v>287.5074462890625</v>
      </c>
      <c r="E14" s="3">
        <v>257.5074462890625</v>
      </c>
      <c r="F14" s="3">
        <v>317.5074462890625</v>
      </c>
      <c r="G14" t="s">
        <v>3</v>
      </c>
      <c r="H14" s="8">
        <f t="shared" si="0"/>
        <v>0.19700006781740498</v>
      </c>
      <c r="I14" s="13">
        <v>248.6785583496094</v>
      </c>
      <c r="J14" s="8">
        <f t="shared" si="1"/>
        <v>3.5341014819973378E-2</v>
      </c>
      <c r="K14" s="13">
        <v>264.06033325195313</v>
      </c>
      <c r="L14" s="8">
        <f t="shared" si="2"/>
        <v>9.9381045222337011E-2</v>
      </c>
      <c r="M14" s="3">
        <v>293.94564819335938</v>
      </c>
      <c r="N14" s="8">
        <f t="shared" si="3"/>
        <v>0.18287614912399913</v>
      </c>
    </row>
    <row r="15" spans="1:14" x14ac:dyDescent="0.25">
      <c r="A15" s="19" t="s">
        <v>21</v>
      </c>
      <c r="B15" s="2">
        <v>37315</v>
      </c>
      <c r="C15" s="3">
        <v>212.44</v>
      </c>
      <c r="D15" s="3">
        <v>230.4080810546875</v>
      </c>
      <c r="E15" s="3">
        <v>200.4080810546875</v>
      </c>
      <c r="F15" s="3">
        <v>260.4080810546875</v>
      </c>
      <c r="G15" t="s">
        <v>3</v>
      </c>
      <c r="H15" s="8">
        <f t="shared" si="0"/>
        <v>8.4579556838107237E-2</v>
      </c>
      <c r="I15" s="13">
        <v>232.4517822265625</v>
      </c>
      <c r="J15" s="8">
        <f t="shared" si="1"/>
        <v>9.4199690390522048E-2</v>
      </c>
      <c r="K15" s="13">
        <v>282.98446655273438</v>
      </c>
      <c r="L15" s="8">
        <f t="shared" si="2"/>
        <v>0.33206772054572764</v>
      </c>
      <c r="M15" s="3">
        <v>246.61418151855469</v>
      </c>
      <c r="N15" s="8">
        <f t="shared" si="3"/>
        <v>0.13857346446227586</v>
      </c>
    </row>
    <row r="16" spans="1:14" x14ac:dyDescent="0.25">
      <c r="A16" s="19" t="s">
        <v>21</v>
      </c>
      <c r="B16" s="2">
        <v>37346</v>
      </c>
      <c r="C16" s="3">
        <v>260.93</v>
      </c>
      <c r="D16" s="3">
        <v>315.66262817382813</v>
      </c>
      <c r="E16" s="3">
        <v>285.66262817382813</v>
      </c>
      <c r="F16" s="3">
        <v>345.66262817382813</v>
      </c>
      <c r="G16" t="s">
        <v>3</v>
      </c>
      <c r="H16" s="8">
        <f t="shared" si="0"/>
        <v>0.20975981364284718</v>
      </c>
      <c r="I16" s="13">
        <v>322.89859008789063</v>
      </c>
      <c r="J16" s="8">
        <f t="shared" si="1"/>
        <v>0.23749124319890627</v>
      </c>
      <c r="K16" s="13">
        <v>311.92193603515619</v>
      </c>
      <c r="L16" s="8">
        <f t="shared" si="2"/>
        <v>0.19542381495096839</v>
      </c>
      <c r="M16" s="3">
        <v>314.57351684570313</v>
      </c>
      <c r="N16" s="8">
        <f t="shared" si="3"/>
        <v>0.17052775892770089</v>
      </c>
    </row>
    <row r="17" spans="1:14" x14ac:dyDescent="0.25">
      <c r="A17" s="19" t="s">
        <v>21</v>
      </c>
      <c r="B17" s="2">
        <v>37376</v>
      </c>
      <c r="C17" s="3">
        <v>280.70999999999998</v>
      </c>
      <c r="D17" s="3">
        <v>288.61273193359381</v>
      </c>
      <c r="E17" s="3">
        <v>258.61273193359381</v>
      </c>
      <c r="F17" s="3">
        <v>318.61273193359381</v>
      </c>
      <c r="G17" t="s">
        <v>3</v>
      </c>
      <c r="H17" s="8">
        <f t="shared" si="0"/>
        <v>2.8152655529171844E-2</v>
      </c>
      <c r="I17" s="13">
        <v>281.52249145507813</v>
      </c>
      <c r="J17" s="8">
        <f t="shared" si="1"/>
        <v>2.8944157852522018E-3</v>
      </c>
      <c r="K17" s="13">
        <v>315.16867065429688</v>
      </c>
      <c r="L17" s="8">
        <f t="shared" si="2"/>
        <v>0.12275540826581489</v>
      </c>
      <c r="M17" s="3">
        <v>294.55392456054688</v>
      </c>
      <c r="N17" s="8">
        <f t="shared" si="3"/>
        <v>4.6999626914498008E-2</v>
      </c>
    </row>
    <row r="18" spans="1:14" x14ac:dyDescent="0.25">
      <c r="A18" s="19" t="s">
        <v>21</v>
      </c>
      <c r="B18" s="2">
        <v>37407</v>
      </c>
      <c r="C18" s="3">
        <v>184.25</v>
      </c>
      <c r="D18" s="3">
        <v>219.93617248535159</v>
      </c>
      <c r="E18" s="3">
        <v>189.93617248535159</v>
      </c>
      <c r="F18" s="3">
        <v>249.93617248535159</v>
      </c>
      <c r="G18" t="s">
        <v>3</v>
      </c>
      <c r="H18" s="8">
        <f t="shared" si="0"/>
        <v>0.193683432756318</v>
      </c>
      <c r="I18" s="13">
        <v>216.15672302246091</v>
      </c>
      <c r="J18" s="8">
        <f t="shared" si="1"/>
        <v>0.17317081694687061</v>
      </c>
      <c r="K18" s="13">
        <v>237.93620300292969</v>
      </c>
      <c r="L18" s="8">
        <f t="shared" si="2"/>
        <v>0.29137694981237278</v>
      </c>
      <c r="M18" s="3">
        <v>223.19709777832031</v>
      </c>
      <c r="N18" s="8">
        <f t="shared" si="3"/>
        <v>0.17449643461315356</v>
      </c>
    </row>
    <row r="19" spans="1:14" x14ac:dyDescent="0.25">
      <c r="A19" s="19" t="s">
        <v>21</v>
      </c>
      <c r="B19" s="2">
        <v>37437</v>
      </c>
      <c r="C19" s="3">
        <v>120.72</v>
      </c>
      <c r="D19" s="3">
        <v>141.35075378417969</v>
      </c>
      <c r="E19" s="3">
        <v>111.35075378417969</v>
      </c>
      <c r="F19" s="3">
        <v>171.35075378417969</v>
      </c>
      <c r="G19" t="s">
        <v>3</v>
      </c>
      <c r="H19" s="8">
        <f t="shared" si="0"/>
        <v>0.1708975628245501</v>
      </c>
      <c r="I19" s="13">
        <v>138.8094482421875</v>
      </c>
      <c r="J19" s="8">
        <f t="shared" si="1"/>
        <v>0.14984632407378645</v>
      </c>
      <c r="K19" s="13">
        <v>134.3487243652344</v>
      </c>
      <c r="L19" s="8">
        <f t="shared" si="2"/>
        <v>0.11289533105727638</v>
      </c>
      <c r="M19" s="3">
        <v>126.7378463745117</v>
      </c>
      <c r="N19" s="8">
        <f t="shared" si="3"/>
        <v>4.748263085305162E-2</v>
      </c>
    </row>
    <row r="20" spans="1:14" x14ac:dyDescent="0.25">
      <c r="A20" s="19" t="s">
        <v>21</v>
      </c>
      <c r="B20" s="2">
        <v>37468</v>
      </c>
      <c r="C20" s="3">
        <v>103.09</v>
      </c>
      <c r="D20" s="3">
        <v>101.29486083984381</v>
      </c>
      <c r="E20" s="3">
        <v>71.294860839843807</v>
      </c>
      <c r="F20" s="3">
        <v>131.29486083984381</v>
      </c>
      <c r="G20" t="s">
        <v>3</v>
      </c>
      <c r="H20" s="8">
        <f t="shared" si="0"/>
        <v>1.7413320013155462E-2</v>
      </c>
      <c r="I20" s="13">
        <v>108.7932434082031</v>
      </c>
      <c r="J20" s="8">
        <f t="shared" si="1"/>
        <v>5.5322954779349044E-2</v>
      </c>
      <c r="K20" s="13">
        <v>96.084976196289063</v>
      </c>
      <c r="L20" s="8">
        <f t="shared" si="2"/>
        <v>6.7950565561266274E-2</v>
      </c>
      <c r="M20" s="3">
        <v>109.21046447753911</v>
      </c>
      <c r="N20" s="8">
        <f t="shared" si="3"/>
        <v>5.604283899733687E-2</v>
      </c>
    </row>
    <row r="21" spans="1:14" x14ac:dyDescent="0.25">
      <c r="A21" s="19" t="s">
        <v>21</v>
      </c>
      <c r="B21" s="2">
        <v>37499</v>
      </c>
      <c r="C21" s="3">
        <v>82.89</v>
      </c>
      <c r="D21" s="3">
        <v>93.532768249511719</v>
      </c>
      <c r="E21" s="3">
        <v>63.532768249511719</v>
      </c>
      <c r="F21" s="3">
        <v>123.53276824951172</v>
      </c>
      <c r="G21" t="s">
        <v>3</v>
      </c>
      <c r="H21" s="8">
        <f t="shared" si="0"/>
        <v>0.12839628724226948</v>
      </c>
      <c r="I21" s="13">
        <v>97.027999877929688</v>
      </c>
      <c r="J21" s="8">
        <f t="shared" si="1"/>
        <v>0.17056339580081659</v>
      </c>
      <c r="K21" s="13">
        <v>102.157958984375</v>
      </c>
      <c r="L21" s="8">
        <f t="shared" si="2"/>
        <v>0.23245215326788515</v>
      </c>
      <c r="M21" s="3">
        <v>117.56886291503911</v>
      </c>
      <c r="N21" s="8">
        <f t="shared" si="3"/>
        <v>0.2949663886780951</v>
      </c>
    </row>
    <row r="22" spans="1:14" x14ac:dyDescent="0.25">
      <c r="A22" s="19" t="s">
        <v>21</v>
      </c>
      <c r="B22" s="2">
        <v>37529</v>
      </c>
      <c r="C22" s="3">
        <v>139.97</v>
      </c>
      <c r="D22" s="3">
        <v>165.0008544921875</v>
      </c>
      <c r="E22" s="3">
        <v>135.0008544921875</v>
      </c>
      <c r="F22" s="3">
        <v>195.0008544921875</v>
      </c>
      <c r="G22" t="s">
        <v>3</v>
      </c>
      <c r="H22" s="8">
        <f t="shared" si="0"/>
        <v>0.17883013854531329</v>
      </c>
      <c r="I22" s="13">
        <v>162.65264892578119</v>
      </c>
      <c r="J22" s="8">
        <f t="shared" si="1"/>
        <v>0.16205364667986849</v>
      </c>
      <c r="K22" s="13">
        <v>170.01704406738281</v>
      </c>
      <c r="L22" s="8">
        <f t="shared" si="2"/>
        <v>0.2146677435692135</v>
      </c>
      <c r="M22" s="3">
        <v>186.03172302246091</v>
      </c>
      <c r="N22" s="8">
        <f t="shared" si="3"/>
        <v>0.24760144277596977</v>
      </c>
    </row>
    <row r="23" spans="1:14" x14ac:dyDescent="0.25">
      <c r="A23" s="19" t="s">
        <v>21</v>
      </c>
      <c r="B23" s="2">
        <v>37560</v>
      </c>
      <c r="C23" s="3">
        <v>268.44</v>
      </c>
      <c r="D23" s="3">
        <v>254.73085021972659</v>
      </c>
      <c r="E23" s="3">
        <v>224.73085021972659</v>
      </c>
      <c r="F23" s="3">
        <v>284.73085021972656</v>
      </c>
      <c r="G23" t="s">
        <v>3</v>
      </c>
      <c r="H23" s="8">
        <f t="shared" si="0"/>
        <v>5.1069698183107609E-2</v>
      </c>
      <c r="I23" s="13">
        <v>267.9886474609375</v>
      </c>
      <c r="J23" s="8">
        <f t="shared" si="1"/>
        <v>1.6813907728449476E-3</v>
      </c>
      <c r="K23" s="13">
        <v>261.177490234375</v>
      </c>
      <c r="L23" s="8">
        <f t="shared" si="2"/>
        <v>2.7054499201404403E-2</v>
      </c>
      <c r="M23" s="3">
        <v>260.29312133789063</v>
      </c>
      <c r="N23" s="8">
        <f t="shared" si="3"/>
        <v>3.129886268309711E-2</v>
      </c>
    </row>
    <row r="24" spans="1:14" x14ac:dyDescent="0.25">
      <c r="A24" s="19" t="s">
        <v>21</v>
      </c>
      <c r="B24" s="2">
        <v>37590</v>
      </c>
      <c r="C24" s="3">
        <v>277.32</v>
      </c>
      <c r="D24" s="3">
        <v>254.99400329589841</v>
      </c>
      <c r="E24" s="3">
        <v>224.99400329589841</v>
      </c>
      <c r="F24" s="3">
        <v>284.99400329589844</v>
      </c>
      <c r="G24" t="s">
        <v>3</v>
      </c>
      <c r="H24" s="8">
        <f t="shared" si="0"/>
        <v>8.0506262455292021E-2</v>
      </c>
      <c r="I24" s="13">
        <v>306.58767700195313</v>
      </c>
      <c r="J24" s="8">
        <f t="shared" si="1"/>
        <v>0.10553756311103826</v>
      </c>
      <c r="K24" s="13">
        <v>280.82611083984381</v>
      </c>
      <c r="L24" s="8">
        <f t="shared" si="2"/>
        <v>1.2642834414552913E-2</v>
      </c>
      <c r="M24" s="3">
        <v>275.691650390625</v>
      </c>
      <c r="N24" s="8">
        <f t="shared" si="3"/>
        <v>5.9064161249272485E-3</v>
      </c>
    </row>
    <row r="25" spans="1:14" x14ac:dyDescent="0.25">
      <c r="A25" s="19" t="s">
        <v>21</v>
      </c>
      <c r="B25" s="2">
        <v>37621</v>
      </c>
      <c r="C25" s="3">
        <v>284.02999999999997</v>
      </c>
      <c r="D25" s="3">
        <v>296.44583129882813</v>
      </c>
      <c r="E25" s="3">
        <v>266.44583129882813</v>
      </c>
      <c r="F25" s="3">
        <v>326.44583129882813</v>
      </c>
      <c r="G25" t="s">
        <v>3</v>
      </c>
      <c r="H25" s="8">
        <f t="shared" si="0"/>
        <v>4.3713098260142073E-2</v>
      </c>
      <c r="I25" s="13">
        <v>289.85333251953119</v>
      </c>
      <c r="J25" s="8">
        <f t="shared" si="1"/>
        <v>2.0502526210369403E-2</v>
      </c>
      <c r="K25" s="13">
        <v>272.23239135742188</v>
      </c>
      <c r="L25" s="8">
        <f t="shared" si="2"/>
        <v>4.1536487844868845E-2</v>
      </c>
      <c r="M25" s="3">
        <v>274.18231201171881</v>
      </c>
      <c r="N25" s="8">
        <f t="shared" si="3"/>
        <v>3.5916569220046067E-2</v>
      </c>
    </row>
    <row r="26" spans="1:14" x14ac:dyDescent="0.25">
      <c r="A26" s="19" t="s">
        <v>21</v>
      </c>
      <c r="B26" s="2">
        <v>37652</v>
      </c>
      <c r="C26" s="3">
        <v>251.43</v>
      </c>
      <c r="D26" s="3">
        <v>279.846923828125</v>
      </c>
      <c r="E26" s="3">
        <v>249.846923828125</v>
      </c>
      <c r="F26" s="3">
        <v>309.846923828125</v>
      </c>
      <c r="G26" t="s">
        <v>3</v>
      </c>
      <c r="H26" s="8">
        <f t="shared" si="0"/>
        <v>0.11302121396859958</v>
      </c>
      <c r="I26" s="13">
        <v>255.17878723144531</v>
      </c>
      <c r="J26" s="8">
        <f t="shared" si="1"/>
        <v>1.4909864500836438E-2</v>
      </c>
      <c r="K26" s="13">
        <v>257.96005249023438</v>
      </c>
      <c r="L26" s="8">
        <f t="shared" si="2"/>
        <v>2.5971652110863334E-2</v>
      </c>
      <c r="M26" s="3">
        <v>262.53564453125</v>
      </c>
      <c r="N26" s="8">
        <f t="shared" si="3"/>
        <v>4.230147320025366E-2</v>
      </c>
    </row>
    <row r="27" spans="1:14" x14ac:dyDescent="0.25">
      <c r="A27" s="19" t="s">
        <v>21</v>
      </c>
      <c r="B27" s="2">
        <v>37680</v>
      </c>
      <c r="C27" s="3">
        <v>194.22</v>
      </c>
      <c r="D27" s="3">
        <v>219.80647277832031</v>
      </c>
      <c r="E27" s="3">
        <v>189.80647277832031</v>
      </c>
      <c r="F27" s="3">
        <v>249.80647277832031</v>
      </c>
      <c r="G27" t="s">
        <v>3</v>
      </c>
      <c r="H27" s="8">
        <f t="shared" si="0"/>
        <v>0.13173963947235257</v>
      </c>
      <c r="I27" s="13">
        <v>225.2796630859375</v>
      </c>
      <c r="J27" s="8">
        <f t="shared" si="1"/>
        <v>0.15992000353175523</v>
      </c>
      <c r="K27" s="13">
        <v>278.47116088867188</v>
      </c>
      <c r="L27" s="8">
        <f t="shared" si="2"/>
        <v>0.43379240494630766</v>
      </c>
      <c r="M27" s="3">
        <v>237.64454650878909</v>
      </c>
      <c r="N27" s="8">
        <f t="shared" si="3"/>
        <v>0.18272898388258646</v>
      </c>
    </row>
    <row r="28" spans="1:14" x14ac:dyDescent="0.25">
      <c r="A28" s="19" t="s">
        <v>21</v>
      </c>
      <c r="B28" s="2">
        <v>37711</v>
      </c>
      <c r="C28" s="3">
        <v>272.24</v>
      </c>
      <c r="D28" s="3">
        <v>313.47622680664063</v>
      </c>
      <c r="E28" s="3">
        <v>283.47622680664063</v>
      </c>
      <c r="F28" s="3">
        <v>343.47622680664063</v>
      </c>
      <c r="G28" t="s">
        <v>3</v>
      </c>
      <c r="H28" s="8">
        <f t="shared" si="0"/>
        <v>0.15147012491419562</v>
      </c>
      <c r="I28" s="13">
        <v>298.75460815429688</v>
      </c>
      <c r="J28" s="8">
        <f t="shared" si="1"/>
        <v>9.7394240942906496E-2</v>
      </c>
      <c r="K28" s="13">
        <v>306.955322265625</v>
      </c>
      <c r="L28" s="8">
        <f t="shared" si="2"/>
        <v>0.1275173459654165</v>
      </c>
      <c r="M28" s="3">
        <v>276.64776611328119</v>
      </c>
      <c r="N28" s="8">
        <f t="shared" si="3"/>
        <v>1.5932773198234683E-2</v>
      </c>
    </row>
    <row r="29" spans="1:14" x14ac:dyDescent="0.25">
      <c r="A29" s="19" t="s">
        <v>21</v>
      </c>
      <c r="B29" s="2">
        <v>37741</v>
      </c>
      <c r="C29" s="3">
        <v>298.64</v>
      </c>
      <c r="D29" s="3">
        <v>249.73431396484381</v>
      </c>
      <c r="E29" s="3">
        <v>219.73431396484381</v>
      </c>
      <c r="F29" s="3">
        <v>279.73431396484381</v>
      </c>
      <c r="G29" t="s">
        <v>3</v>
      </c>
      <c r="H29" s="8">
        <f t="shared" si="0"/>
        <v>0.16376133818361968</v>
      </c>
      <c r="I29" s="13">
        <v>273.5841064453125</v>
      </c>
      <c r="J29" s="8">
        <f t="shared" si="1"/>
        <v>8.3899991811838631E-2</v>
      </c>
      <c r="K29" s="13">
        <v>311.411865234375</v>
      </c>
      <c r="L29" s="8">
        <f t="shared" si="2"/>
        <v>4.2766760093674708E-2</v>
      </c>
      <c r="M29" s="3">
        <v>295.6343994140625</v>
      </c>
      <c r="N29" s="8">
        <f t="shared" si="3"/>
        <v>1.0166613194859888E-2</v>
      </c>
    </row>
    <row r="30" spans="1:14" x14ac:dyDescent="0.25">
      <c r="A30" s="19" t="s">
        <v>21</v>
      </c>
      <c r="B30" s="2">
        <v>37772</v>
      </c>
      <c r="C30" s="3">
        <v>184.21</v>
      </c>
      <c r="D30" s="3">
        <v>208.92462158203119</v>
      </c>
      <c r="E30" s="3">
        <v>178.92462158203119</v>
      </c>
      <c r="F30" s="3">
        <v>238.92462158203119</v>
      </c>
      <c r="G30" t="s">
        <v>3</v>
      </c>
      <c r="H30" s="8">
        <f t="shared" si="0"/>
        <v>0.13416547191808906</v>
      </c>
      <c r="I30" s="13">
        <v>200.27113342285159</v>
      </c>
      <c r="J30" s="8">
        <f t="shared" si="1"/>
        <v>8.7189259121934648E-2</v>
      </c>
      <c r="K30" s="13">
        <v>225.6418762207031</v>
      </c>
      <c r="L30" s="8">
        <f t="shared" si="2"/>
        <v>0.22491654210250847</v>
      </c>
      <c r="M30" s="3">
        <v>222.08720397949219</v>
      </c>
      <c r="N30" s="8">
        <f t="shared" si="3"/>
        <v>0.17055104166645194</v>
      </c>
    </row>
    <row r="31" spans="1:14" x14ac:dyDescent="0.25">
      <c r="A31" s="19" t="s">
        <v>21</v>
      </c>
      <c r="B31" s="2">
        <v>37802</v>
      </c>
      <c r="C31" s="3">
        <v>211.69</v>
      </c>
      <c r="D31" s="3">
        <v>136.93731689453119</v>
      </c>
      <c r="E31" s="3">
        <v>106.93731689453119</v>
      </c>
      <c r="F31" s="3">
        <v>166.93731689453119</v>
      </c>
      <c r="G31" t="s">
        <v>3</v>
      </c>
      <c r="H31" s="8">
        <f t="shared" si="0"/>
        <v>0.35312335540398132</v>
      </c>
      <c r="I31" s="13">
        <v>145.08723449707031</v>
      </c>
      <c r="J31" s="8">
        <f t="shared" si="1"/>
        <v>0.31462405169318197</v>
      </c>
      <c r="K31" s="13">
        <v>130.46006774902341</v>
      </c>
      <c r="L31" s="8">
        <f t="shared" si="2"/>
        <v>0.38372115948309599</v>
      </c>
      <c r="M31" s="3">
        <v>133.61029052734381</v>
      </c>
      <c r="N31" s="8">
        <f t="shared" si="3"/>
        <v>0.58438395100021812</v>
      </c>
    </row>
    <row r="32" spans="1:14" x14ac:dyDescent="0.25">
      <c r="A32" s="19" t="s">
        <v>21</v>
      </c>
      <c r="B32" s="2">
        <v>37833</v>
      </c>
      <c r="C32" s="3">
        <v>86.16</v>
      </c>
      <c r="D32" s="3">
        <v>98.314598083496094</v>
      </c>
      <c r="E32" s="3">
        <v>68.314598083496094</v>
      </c>
      <c r="F32" s="3">
        <v>128.31459808349609</v>
      </c>
      <c r="G32" t="s">
        <v>3</v>
      </c>
      <c r="H32" s="8">
        <f t="shared" si="0"/>
        <v>0.14107007989201598</v>
      </c>
      <c r="I32" s="13">
        <v>115.7084655761719</v>
      </c>
      <c r="J32" s="8">
        <f t="shared" si="1"/>
        <v>0.34294876481165165</v>
      </c>
      <c r="K32" s="13">
        <v>95.658676147460938</v>
      </c>
      <c r="L32" s="8">
        <f t="shared" si="2"/>
        <v>0.11024461638185865</v>
      </c>
      <c r="M32" s="3">
        <v>100.3740539550781</v>
      </c>
      <c r="N32" s="8">
        <f t="shared" si="3"/>
        <v>0.14161083860814797</v>
      </c>
    </row>
    <row r="33" spans="1:14" x14ac:dyDescent="0.25">
      <c r="A33" s="19" t="s">
        <v>21</v>
      </c>
      <c r="B33" s="2">
        <v>37864</v>
      </c>
      <c r="C33" s="3">
        <v>109.18</v>
      </c>
      <c r="D33" s="3">
        <v>79.494956970214844</v>
      </c>
      <c r="E33" s="3">
        <v>49.494956970214844</v>
      </c>
      <c r="F33" s="3">
        <v>109.49495697021484</v>
      </c>
      <c r="G33" t="s">
        <v>3</v>
      </c>
      <c r="H33" s="8">
        <f t="shared" si="0"/>
        <v>0.27189085024533027</v>
      </c>
      <c r="I33" s="13">
        <v>101.0533447265625</v>
      </c>
      <c r="J33" s="8">
        <f t="shared" si="1"/>
        <v>7.4433552605216211E-2</v>
      </c>
      <c r="K33" s="13">
        <v>103.3382263183594</v>
      </c>
      <c r="L33" s="8">
        <f t="shared" si="2"/>
        <v>5.3505895600298614E-2</v>
      </c>
      <c r="M33" s="3">
        <v>115.2512664794922</v>
      </c>
      <c r="N33" s="8">
        <f t="shared" si="3"/>
        <v>5.2678522891308227E-2</v>
      </c>
    </row>
    <row r="34" spans="1:14" x14ac:dyDescent="0.25">
      <c r="A34" s="19" t="s">
        <v>21</v>
      </c>
      <c r="B34" s="2">
        <v>37894</v>
      </c>
      <c r="C34" s="3">
        <v>168.27</v>
      </c>
      <c r="D34" s="3">
        <v>150.6839599609375</v>
      </c>
      <c r="E34" s="3">
        <v>120.6839599609375</v>
      </c>
      <c r="F34" s="3">
        <v>180.6839599609375</v>
      </c>
      <c r="G34" t="s">
        <v>3</v>
      </c>
      <c r="H34" s="8">
        <f t="shared" si="0"/>
        <v>0.10451084589684738</v>
      </c>
      <c r="I34" s="13">
        <v>147.333984375</v>
      </c>
      <c r="J34" s="8">
        <f t="shared" si="1"/>
        <v>0.12441918122660016</v>
      </c>
      <c r="K34" s="13">
        <v>169.89146423339841</v>
      </c>
      <c r="L34" s="8">
        <f t="shared" si="2"/>
        <v>9.6360862506590528E-3</v>
      </c>
      <c r="M34" s="3">
        <v>179.60029602050781</v>
      </c>
      <c r="N34" s="8">
        <f t="shared" si="3"/>
        <v>6.3086176757826962E-2</v>
      </c>
    </row>
    <row r="35" spans="1:14" x14ac:dyDescent="0.25">
      <c r="A35" s="19" t="s">
        <v>21</v>
      </c>
      <c r="B35" s="2">
        <v>37925</v>
      </c>
      <c r="C35" s="3">
        <v>317.33999999999997</v>
      </c>
      <c r="D35" s="3">
        <v>255.8869323730469</v>
      </c>
      <c r="E35" s="3">
        <v>225.8869323730469</v>
      </c>
      <c r="F35" s="3">
        <v>285.88693237304688</v>
      </c>
      <c r="G35" t="s">
        <v>3</v>
      </c>
      <c r="H35" s="8">
        <f t="shared" si="0"/>
        <v>0.19365055658584823</v>
      </c>
      <c r="I35" s="13">
        <v>268.59506225585938</v>
      </c>
      <c r="J35" s="8">
        <f t="shared" si="1"/>
        <v>0.15360477010191154</v>
      </c>
      <c r="K35" s="13">
        <v>268.16207885742188</v>
      </c>
      <c r="L35" s="8">
        <f t="shared" si="2"/>
        <v>0.15496918492020578</v>
      </c>
      <c r="M35" s="3">
        <v>284.15664672851563</v>
      </c>
      <c r="N35" s="8">
        <f t="shared" si="3"/>
        <v>0.11677838140871594</v>
      </c>
    </row>
    <row r="36" spans="1:14" x14ac:dyDescent="0.25">
      <c r="A36" s="19" t="s">
        <v>21</v>
      </c>
      <c r="B36" s="2">
        <v>37955</v>
      </c>
      <c r="C36" s="3">
        <v>300.43</v>
      </c>
      <c r="D36" s="3">
        <v>249.7342224121094</v>
      </c>
      <c r="E36" s="3">
        <v>219.7342224121094</v>
      </c>
      <c r="F36" s="3">
        <v>279.73422241210938</v>
      </c>
      <c r="G36" t="s">
        <v>3</v>
      </c>
      <c r="H36" s="8">
        <f t="shared" si="0"/>
        <v>0.16874405880867624</v>
      </c>
      <c r="I36" s="13">
        <v>274.61651611328119</v>
      </c>
      <c r="J36" s="8">
        <f t="shared" si="1"/>
        <v>8.5921791720929383E-2</v>
      </c>
      <c r="K36" s="13">
        <v>286.81494140625</v>
      </c>
      <c r="L36" s="8">
        <f t="shared" si="2"/>
        <v>4.5318572025929524E-2</v>
      </c>
      <c r="M36" s="3">
        <v>294.3988037109375</v>
      </c>
      <c r="N36" s="8">
        <f t="shared" si="3"/>
        <v>2.04864836848467E-2</v>
      </c>
    </row>
    <row r="37" spans="1:14" x14ac:dyDescent="0.25">
      <c r="A37" s="19" t="s">
        <v>21</v>
      </c>
      <c r="B37" s="2">
        <v>37986</v>
      </c>
      <c r="C37" s="3">
        <v>240.27</v>
      </c>
      <c r="D37" s="3">
        <v>282.1260986328125</v>
      </c>
      <c r="E37" s="3">
        <v>252.1260986328125</v>
      </c>
      <c r="F37" s="3">
        <v>312.1260986328125</v>
      </c>
      <c r="G37" t="s">
        <v>3</v>
      </c>
      <c r="H37" s="8">
        <f t="shared" si="0"/>
        <v>0.1742044309851937</v>
      </c>
      <c r="I37" s="13">
        <v>257.99310302734381</v>
      </c>
      <c r="J37" s="8">
        <f t="shared" si="1"/>
        <v>7.3763278925141701E-2</v>
      </c>
      <c r="K37" s="13">
        <v>284.26828002929688</v>
      </c>
      <c r="L37" s="8">
        <f t="shared" si="2"/>
        <v>0.18312015661254782</v>
      </c>
      <c r="M37" s="3">
        <v>289.61184692382813</v>
      </c>
      <c r="N37" s="8">
        <f t="shared" si="3"/>
        <v>0.17037233610407412</v>
      </c>
    </row>
    <row r="38" spans="1:14" x14ac:dyDescent="0.25">
      <c r="A38" s="19" t="s">
        <v>21</v>
      </c>
      <c r="B38" s="2">
        <v>38017</v>
      </c>
      <c r="C38" s="3">
        <v>258.31</v>
      </c>
      <c r="D38" s="3">
        <v>273.66220092773438</v>
      </c>
      <c r="E38" s="3">
        <v>243.66220092773438</v>
      </c>
      <c r="F38" s="3">
        <v>303.66220092773438</v>
      </c>
      <c r="G38" t="s">
        <v>3</v>
      </c>
      <c r="H38" s="8">
        <f t="shared" si="0"/>
        <v>5.9433242722830598E-2</v>
      </c>
      <c r="I38" s="13">
        <v>276.18997192382813</v>
      </c>
      <c r="J38" s="8">
        <f t="shared" si="1"/>
        <v>6.9219046586768307E-2</v>
      </c>
      <c r="K38" s="13">
        <v>272.99655151367188</v>
      </c>
      <c r="L38" s="8">
        <f t="shared" si="2"/>
        <v>5.6856302557670525E-2</v>
      </c>
      <c r="M38" s="3">
        <v>266.11355590820313</v>
      </c>
      <c r="N38" s="8">
        <f t="shared" si="3"/>
        <v>2.9324157807635282E-2</v>
      </c>
    </row>
    <row r="39" spans="1:14" x14ac:dyDescent="0.25">
      <c r="A39" s="19" t="s">
        <v>21</v>
      </c>
      <c r="B39" s="2">
        <v>38046</v>
      </c>
      <c r="C39" s="3">
        <v>210.31</v>
      </c>
      <c r="D39" s="3">
        <v>254.4139404296875</v>
      </c>
      <c r="E39" s="3">
        <v>224.4139404296875</v>
      </c>
      <c r="F39" s="3">
        <v>284.4139404296875</v>
      </c>
      <c r="G39" t="s">
        <v>3</v>
      </c>
      <c r="H39" s="8">
        <f t="shared" si="0"/>
        <v>0.20970919323706669</v>
      </c>
      <c r="I39" s="13">
        <v>283.62969970703119</v>
      </c>
      <c r="J39" s="8">
        <f t="shared" si="1"/>
        <v>0.34862678763269073</v>
      </c>
      <c r="K39" s="13">
        <v>283.82553100585938</v>
      </c>
      <c r="L39" s="8">
        <f t="shared" si="2"/>
        <v>0.34955794306433063</v>
      </c>
      <c r="M39" s="3">
        <v>242.15586853027341</v>
      </c>
      <c r="N39" s="8">
        <f t="shared" si="3"/>
        <v>0.1315097945945182</v>
      </c>
    </row>
    <row r="40" spans="1:14" x14ac:dyDescent="0.25">
      <c r="A40" s="19" t="s">
        <v>21</v>
      </c>
      <c r="B40" s="2">
        <v>38077</v>
      </c>
      <c r="C40" s="3">
        <v>186.18</v>
      </c>
      <c r="D40" s="3">
        <v>308.03140258789063</v>
      </c>
      <c r="E40" s="3">
        <v>278.03140258789063</v>
      </c>
      <c r="F40" s="3">
        <v>338.03140258789063</v>
      </c>
      <c r="G40" t="s">
        <v>3</v>
      </c>
      <c r="H40" s="8">
        <f t="shared" si="0"/>
        <v>0.65448169829138803</v>
      </c>
      <c r="I40" s="13">
        <v>334.61279296875</v>
      </c>
      <c r="J40" s="8">
        <f t="shared" si="1"/>
        <v>0.7972542322953593</v>
      </c>
      <c r="K40" s="13">
        <v>311.85372924804688</v>
      </c>
      <c r="L40" s="8">
        <f t="shared" si="2"/>
        <v>0.67501197361718157</v>
      </c>
      <c r="M40" s="3">
        <v>272.86505126953119</v>
      </c>
      <c r="N40" s="8">
        <f t="shared" si="3"/>
        <v>0.3176846974950458</v>
      </c>
    </row>
    <row r="41" spans="1:14" x14ac:dyDescent="0.25">
      <c r="A41" s="19" t="s">
        <v>21</v>
      </c>
      <c r="B41" s="2">
        <v>38107</v>
      </c>
      <c r="C41" s="3">
        <v>273.8</v>
      </c>
      <c r="D41" s="3">
        <v>304.0567626953125</v>
      </c>
      <c r="E41" s="3">
        <v>274.0567626953125</v>
      </c>
      <c r="F41" s="3">
        <v>334.0567626953125</v>
      </c>
      <c r="G41" t="s">
        <v>3</v>
      </c>
      <c r="H41" s="8">
        <f t="shared" si="0"/>
        <v>0.1105068031238586</v>
      </c>
      <c r="I41" s="13">
        <v>303.91860961914063</v>
      </c>
      <c r="J41" s="8">
        <f t="shared" si="1"/>
        <v>0.11000222651256615</v>
      </c>
      <c r="K41" s="13">
        <v>315.09707641601563</v>
      </c>
      <c r="L41" s="8">
        <f t="shared" si="2"/>
        <v>0.15082935140984519</v>
      </c>
      <c r="M41" s="3">
        <v>295.30368041992188</v>
      </c>
      <c r="N41" s="8">
        <f t="shared" si="3"/>
        <v>7.2818870355234405E-2</v>
      </c>
    </row>
    <row r="42" spans="1:14" x14ac:dyDescent="0.25">
      <c r="A42" s="19" t="s">
        <v>21</v>
      </c>
      <c r="B42" s="2">
        <v>38138</v>
      </c>
      <c r="C42" s="3">
        <v>251.47</v>
      </c>
      <c r="D42" s="3">
        <v>244.97410583496091</v>
      </c>
      <c r="E42" s="3">
        <v>214.97410583496091</v>
      </c>
      <c r="F42" s="3">
        <v>274.97410583496094</v>
      </c>
      <c r="G42" t="s">
        <v>3</v>
      </c>
      <c r="H42" s="8">
        <f t="shared" si="0"/>
        <v>2.5831686344450988E-2</v>
      </c>
      <c r="I42" s="13">
        <v>203.60884094238281</v>
      </c>
      <c r="J42" s="8">
        <f t="shared" si="1"/>
        <v>0.19032552216016696</v>
      </c>
      <c r="K42" s="13">
        <v>227.22331237792969</v>
      </c>
      <c r="L42" s="8">
        <f t="shared" si="2"/>
        <v>9.6419802052214232E-2</v>
      </c>
      <c r="M42" s="3">
        <v>220.800048828125</v>
      </c>
      <c r="N42" s="8">
        <f t="shared" si="3"/>
        <v>0.13890373364794442</v>
      </c>
    </row>
    <row r="43" spans="1:14" x14ac:dyDescent="0.25">
      <c r="A43" s="19" t="s">
        <v>21</v>
      </c>
      <c r="B43" s="2">
        <v>38168</v>
      </c>
      <c r="C43" s="3">
        <v>69.95</v>
      </c>
      <c r="D43" s="3">
        <v>138.74882507324219</v>
      </c>
      <c r="E43" s="3">
        <v>108.74882507324219</v>
      </c>
      <c r="F43" s="3">
        <v>168.74882507324219</v>
      </c>
      <c r="G43" t="s">
        <v>3</v>
      </c>
      <c r="H43" s="8">
        <f t="shared" si="0"/>
        <v>0.98354288882404839</v>
      </c>
      <c r="I43" s="13">
        <v>133.43208312988281</v>
      </c>
      <c r="J43" s="8">
        <f t="shared" si="1"/>
        <v>0.90753514124207013</v>
      </c>
      <c r="K43" s="13">
        <v>133.14634704589841</v>
      </c>
      <c r="L43" s="8">
        <f t="shared" si="2"/>
        <v>0.90345027942671052</v>
      </c>
      <c r="M43" s="3">
        <v>132.8150634765625</v>
      </c>
      <c r="N43" s="8">
        <f t="shared" si="3"/>
        <v>0.47332781260655815</v>
      </c>
    </row>
    <row r="44" spans="1:14" x14ac:dyDescent="0.25">
      <c r="A44" s="19" t="s">
        <v>21</v>
      </c>
      <c r="B44" s="2">
        <v>38199</v>
      </c>
      <c r="C44" s="3">
        <v>126.82</v>
      </c>
      <c r="D44" s="3">
        <v>102.3146591186523</v>
      </c>
      <c r="E44" s="3">
        <v>72.314659118652301</v>
      </c>
      <c r="F44" s="3">
        <v>132.31465911865229</v>
      </c>
      <c r="G44" t="s">
        <v>3</v>
      </c>
      <c r="H44" s="8">
        <f t="shared" si="0"/>
        <v>0.19322930832161878</v>
      </c>
      <c r="I44" s="13">
        <v>106.4897918701172</v>
      </c>
      <c r="J44" s="8">
        <f t="shared" si="1"/>
        <v>0.16030758657847968</v>
      </c>
      <c r="K44" s="13">
        <v>91.791229248046875</v>
      </c>
      <c r="L44" s="8">
        <f t="shared" si="2"/>
        <v>0.27620856924738307</v>
      </c>
      <c r="M44" s="3">
        <v>124.0997695922852</v>
      </c>
      <c r="N44" s="8">
        <f t="shared" si="3"/>
        <v>2.1919705545399341E-2</v>
      </c>
    </row>
    <row r="45" spans="1:14" x14ac:dyDescent="0.25">
      <c r="A45" s="19" t="s">
        <v>21</v>
      </c>
      <c r="B45" s="2">
        <v>38230</v>
      </c>
      <c r="C45" s="3">
        <v>57.5</v>
      </c>
      <c r="D45" s="3">
        <v>122.80931091308589</v>
      </c>
      <c r="E45" s="3">
        <v>92.809310913085895</v>
      </c>
      <c r="F45" s="3">
        <v>152.80931091308588</v>
      </c>
      <c r="G45" t="s">
        <v>3</v>
      </c>
      <c r="H45" s="8">
        <f t="shared" si="0"/>
        <v>1.1358141028362765</v>
      </c>
      <c r="I45" s="13">
        <v>102.6265869140625</v>
      </c>
      <c r="J45" s="8">
        <f t="shared" si="1"/>
        <v>0.78481020720108696</v>
      </c>
      <c r="K45" s="13">
        <v>101.9245147705078</v>
      </c>
      <c r="L45" s="8">
        <f t="shared" si="2"/>
        <v>0.77260025687839651</v>
      </c>
      <c r="M45" s="3">
        <v>110.4391326904297</v>
      </c>
      <c r="N45" s="8">
        <f t="shared" si="3"/>
        <v>0.47935121727931895</v>
      </c>
    </row>
    <row r="46" spans="1:14" x14ac:dyDescent="0.25">
      <c r="A46" s="19" t="s">
        <v>21</v>
      </c>
      <c r="B46" s="2">
        <v>38260</v>
      </c>
      <c r="C46" s="3">
        <v>212.78</v>
      </c>
      <c r="D46" s="3">
        <v>184.4941711425781</v>
      </c>
      <c r="E46" s="3">
        <v>154.4941711425781</v>
      </c>
      <c r="F46" s="3">
        <v>214.4941711425781</v>
      </c>
      <c r="G46" t="s">
        <v>3</v>
      </c>
      <c r="H46" s="8">
        <f t="shared" si="0"/>
        <v>0.1329346219448346</v>
      </c>
      <c r="I46" s="13">
        <v>172.00303649902341</v>
      </c>
      <c r="J46" s="8">
        <f t="shared" si="1"/>
        <v>0.19163908027529181</v>
      </c>
      <c r="K46" s="13">
        <v>168.2558288574219</v>
      </c>
      <c r="L46" s="8">
        <f t="shared" si="2"/>
        <v>0.20924979388372072</v>
      </c>
      <c r="M46" s="3">
        <v>185.98310852050781</v>
      </c>
      <c r="N46" s="8">
        <f t="shared" si="3"/>
        <v>0.14408239378651624</v>
      </c>
    </row>
    <row r="47" spans="1:14" x14ac:dyDescent="0.25">
      <c r="A47" s="19" t="s">
        <v>21</v>
      </c>
      <c r="B47" s="2">
        <v>38291</v>
      </c>
      <c r="C47" s="3">
        <v>293.44</v>
      </c>
      <c r="D47" s="3">
        <v>248.41058349609381</v>
      </c>
      <c r="E47" s="3">
        <v>218.41058349609381</v>
      </c>
      <c r="F47" s="3">
        <v>278.41058349609381</v>
      </c>
      <c r="G47" t="s">
        <v>3</v>
      </c>
      <c r="H47" s="8">
        <f t="shared" si="0"/>
        <v>0.15345357314580899</v>
      </c>
      <c r="I47" s="13">
        <v>294.07742309570313</v>
      </c>
      <c r="J47" s="8">
        <f t="shared" si="1"/>
        <v>2.1722433741246158E-3</v>
      </c>
      <c r="K47" s="13">
        <v>262.07528686523438</v>
      </c>
      <c r="L47" s="8">
        <f t="shared" si="2"/>
        <v>0.1068862906719112</v>
      </c>
      <c r="M47" s="3">
        <v>265.51220703125</v>
      </c>
      <c r="N47" s="8">
        <f t="shared" si="3"/>
        <v>0.10518459125106432</v>
      </c>
    </row>
    <row r="48" spans="1:14" x14ac:dyDescent="0.25">
      <c r="A48" s="19" t="s">
        <v>21</v>
      </c>
      <c r="B48" s="2">
        <v>38321</v>
      </c>
      <c r="C48" s="3">
        <v>320.39999999999998</v>
      </c>
      <c r="D48" s="3">
        <v>268.34234619140619</v>
      </c>
      <c r="E48" s="3">
        <v>238.34234619140619</v>
      </c>
      <c r="F48" s="3">
        <v>298.34234619140619</v>
      </c>
      <c r="G48" t="s">
        <v>3</v>
      </c>
      <c r="H48" s="8">
        <f t="shared" si="0"/>
        <v>0.16247707181209048</v>
      </c>
      <c r="I48" s="13">
        <v>287.88430786132813</v>
      </c>
      <c r="J48" s="8">
        <f t="shared" si="1"/>
        <v>0.10148468208074861</v>
      </c>
      <c r="K48" s="13">
        <v>278.34518432617188</v>
      </c>
      <c r="L48" s="8">
        <f t="shared" si="2"/>
        <v>0.13125722744640483</v>
      </c>
      <c r="M48" s="3">
        <v>298.378173828125</v>
      </c>
      <c r="N48" s="8">
        <f t="shared" si="3"/>
        <v>7.3805083962207724E-2</v>
      </c>
    </row>
    <row r="49" spans="1:14" x14ac:dyDescent="0.25">
      <c r="A49" s="19" t="s">
        <v>21</v>
      </c>
      <c r="B49" s="2">
        <v>38352</v>
      </c>
      <c r="C49" s="3">
        <v>284.58999999999997</v>
      </c>
      <c r="D49" s="3">
        <v>316.47915649414063</v>
      </c>
      <c r="E49" s="3">
        <v>286.47915649414063</v>
      </c>
      <c r="F49" s="3">
        <v>346.47915649414063</v>
      </c>
      <c r="G49" t="s">
        <v>3</v>
      </c>
      <c r="H49" s="8">
        <f t="shared" si="0"/>
        <v>0.11205297619080309</v>
      </c>
      <c r="I49" s="13">
        <v>258.28622436523438</v>
      </c>
      <c r="J49" s="8">
        <f t="shared" si="1"/>
        <v>9.2426914630751617E-2</v>
      </c>
      <c r="K49" s="13">
        <v>272.32339477539063</v>
      </c>
      <c r="L49" s="8">
        <f t="shared" si="2"/>
        <v>4.3102727518919678E-2</v>
      </c>
      <c r="M49" s="3">
        <v>262.05047607421881</v>
      </c>
      <c r="N49" s="8">
        <f t="shared" si="3"/>
        <v>8.6012146451500626E-2</v>
      </c>
    </row>
    <row r="50" spans="1:14" x14ac:dyDescent="0.25">
      <c r="A50" s="19" t="s">
        <v>21</v>
      </c>
      <c r="B50" s="2">
        <v>38383</v>
      </c>
      <c r="C50" s="3">
        <v>229.19</v>
      </c>
      <c r="D50" s="3">
        <v>287.54074096679688</v>
      </c>
      <c r="E50" s="3">
        <v>257.54074096679688</v>
      </c>
      <c r="F50" s="3">
        <v>317.54074096679688</v>
      </c>
      <c r="G50" t="s">
        <v>3</v>
      </c>
      <c r="H50" s="8">
        <f t="shared" si="0"/>
        <v>0.25459549267767739</v>
      </c>
      <c r="I50" s="13">
        <v>231.14268493652341</v>
      </c>
      <c r="J50" s="8">
        <f t="shared" si="1"/>
        <v>8.5199395109883131E-3</v>
      </c>
      <c r="K50" s="13">
        <v>263.55191040039063</v>
      </c>
      <c r="L50" s="8">
        <f t="shared" si="2"/>
        <v>0.14992761638985394</v>
      </c>
      <c r="M50" s="3">
        <v>259.51031494140619</v>
      </c>
      <c r="N50" s="8">
        <f t="shared" si="3"/>
        <v>0.11683664654428899</v>
      </c>
    </row>
    <row r="51" spans="1:14" x14ac:dyDescent="0.25">
      <c r="A51" s="19" t="s">
        <v>21</v>
      </c>
      <c r="B51" s="2">
        <v>38411</v>
      </c>
      <c r="C51" s="3">
        <v>313.39999999999998</v>
      </c>
      <c r="D51" s="3">
        <v>246.09820556640619</v>
      </c>
      <c r="E51" s="3">
        <v>216.09820556640619</v>
      </c>
      <c r="F51" s="3">
        <v>276.09820556640619</v>
      </c>
      <c r="G51" t="s">
        <v>3</v>
      </c>
      <c r="H51" s="8">
        <f t="shared" si="0"/>
        <v>0.21474727004975683</v>
      </c>
      <c r="I51" s="13">
        <v>247.95518493652341</v>
      </c>
      <c r="J51" s="8">
        <f t="shared" si="1"/>
        <v>0.20882200084070382</v>
      </c>
      <c r="K51" s="13">
        <v>284.05960083007813</v>
      </c>
      <c r="L51" s="8">
        <f t="shared" si="2"/>
        <v>9.3619652743847648E-2</v>
      </c>
      <c r="M51" s="3">
        <v>254.90846252441409</v>
      </c>
      <c r="N51" s="8">
        <f t="shared" si="3"/>
        <v>0.22946094804515879</v>
      </c>
    </row>
    <row r="52" spans="1:14" x14ac:dyDescent="0.25">
      <c r="A52" s="19" t="s">
        <v>21</v>
      </c>
      <c r="B52" s="2">
        <v>38442</v>
      </c>
      <c r="C52" s="3">
        <v>384.91</v>
      </c>
      <c r="D52" s="3">
        <v>309.097900390625</v>
      </c>
      <c r="E52" s="3">
        <v>279.097900390625</v>
      </c>
      <c r="F52" s="3">
        <v>339.097900390625</v>
      </c>
      <c r="G52" t="s">
        <v>3</v>
      </c>
      <c r="H52" s="8">
        <f t="shared" si="0"/>
        <v>0.1969605871745993</v>
      </c>
      <c r="I52" s="13">
        <v>333.60482788085938</v>
      </c>
      <c r="J52" s="8">
        <f t="shared" si="1"/>
        <v>0.13329134633847042</v>
      </c>
      <c r="K52" s="13">
        <v>315.21646118164063</v>
      </c>
      <c r="L52" s="8">
        <f t="shared" si="2"/>
        <v>0.18106450551650879</v>
      </c>
      <c r="M52" s="3">
        <v>337.95187377929688</v>
      </c>
      <c r="N52" s="8">
        <f t="shared" si="3"/>
        <v>0.13894915182914377</v>
      </c>
    </row>
    <row r="53" spans="1:14" x14ac:dyDescent="0.25">
      <c r="A53" s="19" t="s">
        <v>21</v>
      </c>
      <c r="B53" s="2">
        <v>38472</v>
      </c>
      <c r="C53" s="3">
        <v>235.05</v>
      </c>
      <c r="D53" s="3">
        <v>297.61248779296881</v>
      </c>
      <c r="E53" s="3">
        <v>267.61248779296881</v>
      </c>
      <c r="F53" s="3">
        <v>327.61248779296881</v>
      </c>
      <c r="G53" t="s">
        <v>3</v>
      </c>
      <c r="H53" s="8">
        <f t="shared" si="0"/>
        <v>0.26616672109325162</v>
      </c>
      <c r="I53" s="13">
        <v>327.3466796875</v>
      </c>
      <c r="J53" s="8">
        <f t="shared" si="1"/>
        <v>0.39266828201446496</v>
      </c>
      <c r="K53" s="13">
        <v>325.81875610351563</v>
      </c>
      <c r="L53" s="8">
        <f t="shared" si="2"/>
        <v>0.38616786259738611</v>
      </c>
      <c r="M53" s="3">
        <v>293.45574951171881</v>
      </c>
      <c r="N53" s="8">
        <f t="shared" si="3"/>
        <v>0.199027449995102</v>
      </c>
    </row>
    <row r="54" spans="1:14" x14ac:dyDescent="0.25">
      <c r="A54" s="19" t="s">
        <v>21</v>
      </c>
      <c r="B54" s="2">
        <v>38503</v>
      </c>
      <c r="C54" s="3">
        <v>182.45</v>
      </c>
      <c r="D54" s="3">
        <v>237.98536682128909</v>
      </c>
      <c r="E54" s="3">
        <v>207.98536682128909</v>
      </c>
      <c r="F54" s="3">
        <v>267.98536682128906</v>
      </c>
      <c r="G54" t="s">
        <v>3</v>
      </c>
      <c r="H54" s="8">
        <f t="shared" ref="H54:H117" si="4">IFERROR(ABS((C54-D54)/C54),0)</f>
        <v>0.30438677347924969</v>
      </c>
      <c r="I54" s="13">
        <v>246.5038146972656</v>
      </c>
      <c r="J54" s="8">
        <f t="shared" si="1"/>
        <v>0.3510759917635824</v>
      </c>
      <c r="K54" s="13">
        <v>263.05859375</v>
      </c>
      <c r="L54" s="8">
        <f t="shared" si="2"/>
        <v>0.44181196903261177</v>
      </c>
      <c r="M54" s="3">
        <v>219.52156066894531</v>
      </c>
      <c r="N54" s="8">
        <f t="shared" si="3"/>
        <v>0.16887434908888957</v>
      </c>
    </row>
    <row r="55" spans="1:14" x14ac:dyDescent="0.25">
      <c r="A55" s="19" t="s">
        <v>21</v>
      </c>
      <c r="B55" s="2">
        <v>38533</v>
      </c>
      <c r="C55" s="3">
        <v>157.76</v>
      </c>
      <c r="D55" s="3">
        <v>139.33726501464841</v>
      </c>
      <c r="E55" s="3">
        <v>109.33726501464841</v>
      </c>
      <c r="F55" s="3">
        <v>169.33726501464841</v>
      </c>
      <c r="G55" t="s">
        <v>3</v>
      </c>
      <c r="H55" s="8">
        <f t="shared" si="4"/>
        <v>0.11677697125603184</v>
      </c>
      <c r="I55" s="13">
        <v>141.39739990234381</v>
      </c>
      <c r="J55" s="8">
        <f t="shared" si="1"/>
        <v>0.10371830690704985</v>
      </c>
      <c r="K55" s="13">
        <v>148.23309326171881</v>
      </c>
      <c r="L55" s="8">
        <f t="shared" si="2"/>
        <v>6.0388607620950711E-2</v>
      </c>
      <c r="M55" s="3">
        <v>151.36940002441409</v>
      </c>
      <c r="N55" s="8">
        <f t="shared" si="3"/>
        <v>4.2218572409979636E-2</v>
      </c>
    </row>
    <row r="56" spans="1:14" x14ac:dyDescent="0.25">
      <c r="A56" s="19" t="s">
        <v>21</v>
      </c>
      <c r="B56" s="2">
        <v>38564</v>
      </c>
      <c r="C56" s="3">
        <v>105.61</v>
      </c>
      <c r="D56" s="3">
        <v>105.2209777832031</v>
      </c>
      <c r="E56" s="3">
        <v>75.220977783203097</v>
      </c>
      <c r="F56" s="3">
        <v>135.2209777832031</v>
      </c>
      <c r="G56" t="s">
        <v>3</v>
      </c>
      <c r="H56" s="8">
        <f t="shared" si="4"/>
        <v>3.6835736842808719E-3</v>
      </c>
      <c r="I56" s="13">
        <v>111.0824279785156</v>
      </c>
      <c r="J56" s="8">
        <f t="shared" si="1"/>
        <v>5.1817327701122975E-2</v>
      </c>
      <c r="K56" s="13">
        <v>108.41383361816411</v>
      </c>
      <c r="L56" s="8">
        <f t="shared" si="2"/>
        <v>2.6548940613238384E-2</v>
      </c>
      <c r="M56" s="3">
        <v>125.4436111450195</v>
      </c>
      <c r="N56" s="8">
        <f t="shared" si="3"/>
        <v>0.15810778216589119</v>
      </c>
    </row>
    <row r="57" spans="1:14" x14ac:dyDescent="0.25">
      <c r="A57" s="19" t="s">
        <v>21</v>
      </c>
      <c r="B57" s="2">
        <v>38595</v>
      </c>
      <c r="C57" s="3">
        <v>116.26</v>
      </c>
      <c r="D57" s="3">
        <v>114.8722763061523</v>
      </c>
      <c r="E57" s="3">
        <v>84.872276306152301</v>
      </c>
      <c r="F57" s="3">
        <v>144.87227630615229</v>
      </c>
      <c r="G57" t="s">
        <v>3</v>
      </c>
      <c r="H57" s="8">
        <f t="shared" si="4"/>
        <v>1.1936381333628969E-2</v>
      </c>
      <c r="I57" s="13">
        <v>105.4788055419922</v>
      </c>
      <c r="J57" s="8">
        <f t="shared" si="1"/>
        <v>9.2733480629690376E-2</v>
      </c>
      <c r="K57" s="13">
        <v>112.4026184082031</v>
      </c>
      <c r="L57" s="8">
        <f t="shared" si="2"/>
        <v>3.31789230328308E-2</v>
      </c>
      <c r="M57" s="3">
        <v>133.05805969238281</v>
      </c>
      <c r="N57" s="8">
        <f t="shared" si="3"/>
        <v>0.12624608934790027</v>
      </c>
    </row>
    <row r="58" spans="1:14" x14ac:dyDescent="0.25">
      <c r="A58" s="19" t="s">
        <v>21</v>
      </c>
      <c r="B58" s="2">
        <v>38625</v>
      </c>
      <c r="C58" s="3">
        <v>188.95</v>
      </c>
      <c r="D58" s="3">
        <v>176.6811218261719</v>
      </c>
      <c r="E58" s="3">
        <v>146.6811218261719</v>
      </c>
      <c r="F58" s="3">
        <v>206.6811218261719</v>
      </c>
      <c r="G58" t="s">
        <v>3</v>
      </c>
      <c r="H58" s="8">
        <f t="shared" si="4"/>
        <v>6.4931877077682387E-2</v>
      </c>
      <c r="I58" s="13">
        <v>190.9178771972656</v>
      </c>
      <c r="J58" s="8">
        <f t="shared" si="1"/>
        <v>1.0414803901908484E-2</v>
      </c>
      <c r="K58" s="13">
        <v>182.40940856933591</v>
      </c>
      <c r="L58" s="8">
        <f t="shared" si="2"/>
        <v>3.4615461395417199E-2</v>
      </c>
      <c r="M58" s="3">
        <v>176.59562683105469</v>
      </c>
      <c r="N58" s="8">
        <f t="shared" si="3"/>
        <v>6.9958545353812573E-2</v>
      </c>
    </row>
    <row r="59" spans="1:14" x14ac:dyDescent="0.25">
      <c r="A59" s="19" t="s">
        <v>21</v>
      </c>
      <c r="B59" s="2">
        <v>38656</v>
      </c>
      <c r="C59" s="3">
        <v>322.95</v>
      </c>
      <c r="D59" s="3">
        <v>256.68093872070313</v>
      </c>
      <c r="E59" s="3">
        <v>226.68093872070313</v>
      </c>
      <c r="F59" s="3">
        <v>286.68093872070313</v>
      </c>
      <c r="G59" t="s">
        <v>3</v>
      </c>
      <c r="H59" s="8">
        <f t="shared" si="4"/>
        <v>0.20519913695400793</v>
      </c>
      <c r="I59" s="13">
        <v>288.6453857421875</v>
      </c>
      <c r="J59" s="8">
        <f t="shared" si="1"/>
        <v>0.10622267923149865</v>
      </c>
      <c r="K59" s="13">
        <v>275.208740234375</v>
      </c>
      <c r="L59" s="8">
        <f t="shared" si="2"/>
        <v>0.14782864147894409</v>
      </c>
      <c r="M59" s="3">
        <v>285.4482421875</v>
      </c>
      <c r="N59" s="8">
        <f t="shared" si="3"/>
        <v>0.13137848572865451</v>
      </c>
    </row>
    <row r="60" spans="1:14" x14ac:dyDescent="0.25">
      <c r="A60" s="19" t="s">
        <v>21</v>
      </c>
      <c r="B60" s="2">
        <v>38686</v>
      </c>
      <c r="C60" s="3">
        <v>223.86</v>
      </c>
      <c r="D60" s="3">
        <v>271.48788452148438</v>
      </c>
      <c r="E60" s="3">
        <v>241.48788452148438</v>
      </c>
      <c r="F60" s="3">
        <v>301.48788452148438</v>
      </c>
      <c r="G60" t="s">
        <v>3</v>
      </c>
      <c r="H60" s="8">
        <f t="shared" si="4"/>
        <v>0.21275745788208861</v>
      </c>
      <c r="I60" s="13">
        <v>287.89944458007813</v>
      </c>
      <c r="J60" s="8">
        <f t="shared" si="1"/>
        <v>0.28606917082139777</v>
      </c>
      <c r="K60" s="13">
        <v>291.42727661132813</v>
      </c>
      <c r="L60" s="8">
        <f t="shared" si="2"/>
        <v>0.3018282703981422</v>
      </c>
      <c r="M60" s="3">
        <v>288.85293579101563</v>
      </c>
      <c r="N60" s="8">
        <f t="shared" si="3"/>
        <v>0.22500354934262409</v>
      </c>
    </row>
    <row r="61" spans="1:14" x14ac:dyDescent="0.25">
      <c r="A61" s="19" t="s">
        <v>21</v>
      </c>
      <c r="B61" s="2">
        <v>38717</v>
      </c>
      <c r="C61" s="3">
        <v>361.85</v>
      </c>
      <c r="D61" s="3">
        <v>311.888671875</v>
      </c>
      <c r="E61" s="3">
        <v>281.888671875</v>
      </c>
      <c r="F61" s="3">
        <v>341.888671875</v>
      </c>
      <c r="G61" t="s">
        <v>3</v>
      </c>
      <c r="H61" s="8">
        <f t="shared" si="4"/>
        <v>0.13807193070333015</v>
      </c>
      <c r="I61" s="13">
        <v>276.9033203125</v>
      </c>
      <c r="J61" s="8">
        <f t="shared" si="1"/>
        <v>0.23475661099212386</v>
      </c>
      <c r="K61" s="13">
        <v>287.11349487304688</v>
      </c>
      <c r="L61" s="8">
        <f t="shared" si="2"/>
        <v>0.20654001693230106</v>
      </c>
      <c r="M61" s="3">
        <v>321.42630004882813</v>
      </c>
      <c r="N61" s="8">
        <f t="shared" si="3"/>
        <v>0.12576351078001738</v>
      </c>
    </row>
    <row r="62" spans="1:14" x14ac:dyDescent="0.25">
      <c r="A62" s="19" t="s">
        <v>21</v>
      </c>
      <c r="B62" s="2">
        <v>38748</v>
      </c>
      <c r="C62" s="3">
        <v>301.10000000000002</v>
      </c>
      <c r="D62" s="3">
        <v>291.84109497070313</v>
      </c>
      <c r="E62" s="3">
        <v>261.84109497070313</v>
      </c>
      <c r="F62" s="3">
        <v>321.84109497070313</v>
      </c>
      <c r="G62" t="s">
        <v>3</v>
      </c>
      <c r="H62" s="8">
        <f t="shared" si="4"/>
        <v>3.0750265789760534E-2</v>
      </c>
      <c r="I62" s="13">
        <v>254.59303283691409</v>
      </c>
      <c r="J62" s="8">
        <f t="shared" si="1"/>
        <v>0.15445688197637306</v>
      </c>
      <c r="K62" s="13">
        <v>276.43807983398438</v>
      </c>
      <c r="L62" s="8">
        <f t="shared" si="2"/>
        <v>8.1906078266408652E-2</v>
      </c>
      <c r="M62" s="3">
        <v>282.96820068359381</v>
      </c>
      <c r="N62" s="8">
        <f t="shared" si="3"/>
        <v>6.4077162283972061E-2</v>
      </c>
    </row>
    <row r="63" spans="1:14" x14ac:dyDescent="0.25">
      <c r="A63" s="19" t="s">
        <v>21</v>
      </c>
      <c r="B63" s="2">
        <v>38776</v>
      </c>
      <c r="C63" s="3">
        <v>324.97000000000003</v>
      </c>
      <c r="D63" s="3">
        <v>275.86624145507813</v>
      </c>
      <c r="E63" s="3">
        <v>245.86624145507813</v>
      </c>
      <c r="F63" s="3">
        <v>305.86624145507813</v>
      </c>
      <c r="G63" t="s">
        <v>3</v>
      </c>
      <c r="H63" s="8">
        <f t="shared" si="4"/>
        <v>0.15110243574767485</v>
      </c>
      <c r="I63" s="13">
        <v>278.15142822265619</v>
      </c>
      <c r="J63" s="8">
        <f t="shared" si="1"/>
        <v>0.14407044274038783</v>
      </c>
      <c r="K63" s="13">
        <v>289.42266845703119</v>
      </c>
      <c r="L63" s="8">
        <f t="shared" si="2"/>
        <v>0.10938650196316223</v>
      </c>
      <c r="M63" s="3">
        <v>277.61907958984381</v>
      </c>
      <c r="N63" s="8">
        <f t="shared" si="3"/>
        <v>0.17056075713568669</v>
      </c>
    </row>
    <row r="64" spans="1:14" x14ac:dyDescent="0.25">
      <c r="A64" s="19" t="s">
        <v>21</v>
      </c>
      <c r="B64" s="2">
        <v>38807</v>
      </c>
      <c r="C64" s="3">
        <v>339.63</v>
      </c>
      <c r="D64" s="3">
        <v>319.259765625</v>
      </c>
      <c r="E64" s="3">
        <v>289.259765625</v>
      </c>
      <c r="F64" s="3">
        <v>349.259765625</v>
      </c>
      <c r="G64" t="s">
        <v>3</v>
      </c>
      <c r="H64" s="8">
        <f t="shared" si="4"/>
        <v>5.9977723920148385E-2</v>
      </c>
      <c r="I64" s="13">
        <v>369.77102661132813</v>
      </c>
      <c r="J64" s="8">
        <f t="shared" si="1"/>
        <v>8.874665551137452E-2</v>
      </c>
      <c r="K64" s="13">
        <v>321.80276489257813</v>
      </c>
      <c r="L64" s="8">
        <f t="shared" si="2"/>
        <v>5.2490166084921443E-2</v>
      </c>
      <c r="M64" s="3">
        <v>363.43634033203119</v>
      </c>
      <c r="N64" s="8">
        <f t="shared" si="3"/>
        <v>6.5503467017860695E-2</v>
      </c>
    </row>
    <row r="65" spans="1:14" x14ac:dyDescent="0.25">
      <c r="A65" s="19" t="s">
        <v>21</v>
      </c>
      <c r="B65" s="2">
        <v>38837</v>
      </c>
      <c r="C65" s="3">
        <v>348.89</v>
      </c>
      <c r="D65" s="3">
        <v>299.9608154296875</v>
      </c>
      <c r="E65" s="3">
        <v>269.9608154296875</v>
      </c>
      <c r="F65" s="3">
        <v>329.9608154296875</v>
      </c>
      <c r="G65" t="s">
        <v>3</v>
      </c>
      <c r="H65" s="8">
        <f t="shared" si="4"/>
        <v>0.14024243907911516</v>
      </c>
      <c r="I65" s="13">
        <v>352.22332763671881</v>
      </c>
      <c r="J65" s="8">
        <f t="shared" si="1"/>
        <v>9.5540933724635856E-3</v>
      </c>
      <c r="K65" s="13">
        <v>330.23709106445313</v>
      </c>
      <c r="L65" s="8">
        <f t="shared" si="2"/>
        <v>5.3463581459906741E-2</v>
      </c>
      <c r="M65" s="3">
        <v>326.42123413085938</v>
      </c>
      <c r="N65" s="8">
        <f t="shared" si="3"/>
        <v>6.8833652715537139E-2</v>
      </c>
    </row>
    <row r="66" spans="1:14" x14ac:dyDescent="0.25">
      <c r="A66" s="19" t="s">
        <v>21</v>
      </c>
      <c r="B66" s="2">
        <v>38868</v>
      </c>
      <c r="C66" s="3">
        <v>222.48</v>
      </c>
      <c r="D66" s="3">
        <v>239.90644836425781</v>
      </c>
      <c r="E66" s="3">
        <v>209.90644836425781</v>
      </c>
      <c r="F66" s="3">
        <v>269.90644836425781</v>
      </c>
      <c r="G66" t="s">
        <v>3</v>
      </c>
      <c r="H66" s="8">
        <f t="shared" si="4"/>
        <v>7.8328156977066812E-2</v>
      </c>
      <c r="I66" s="13">
        <v>269.93002319335938</v>
      </c>
      <c r="J66" s="8">
        <f t="shared" si="1"/>
        <v>0.21327770223552403</v>
      </c>
      <c r="K66" s="13">
        <v>282.39501953125</v>
      </c>
      <c r="L66" s="8">
        <f t="shared" si="2"/>
        <v>0.26930519386574081</v>
      </c>
      <c r="M66" s="3">
        <v>254.4596252441406</v>
      </c>
      <c r="N66" s="8">
        <f t="shared" si="3"/>
        <v>0.12567661849481168</v>
      </c>
    </row>
    <row r="67" spans="1:14" x14ac:dyDescent="0.25">
      <c r="A67" s="19" t="s">
        <v>21</v>
      </c>
      <c r="B67" s="2">
        <v>38898</v>
      </c>
      <c r="C67" s="3">
        <v>199.83</v>
      </c>
      <c r="D67" s="3">
        <v>148.5071105957031</v>
      </c>
      <c r="E67" s="3">
        <v>118.5071105957031</v>
      </c>
      <c r="F67" s="3">
        <v>178.5071105957031</v>
      </c>
      <c r="G67" t="s">
        <v>3</v>
      </c>
      <c r="H67" s="8">
        <f t="shared" si="4"/>
        <v>0.25683275486311824</v>
      </c>
      <c r="I67" s="13">
        <v>160.40803527832031</v>
      </c>
      <c r="J67" s="8">
        <f t="shared" ref="J67:J130" si="5">IFERROR(ABS((C67-I67)/C67),0)</f>
        <v>0.19727750949146625</v>
      </c>
      <c r="K67" s="13">
        <v>177.29893493652341</v>
      </c>
      <c r="L67" s="8">
        <f t="shared" ref="L67:L130" si="6">IFERROR(ABS((C67-K67)/C67),0)</f>
        <v>0.11275116380661863</v>
      </c>
      <c r="M67" s="3">
        <v>165.83973693847659</v>
      </c>
      <c r="N67" s="8">
        <f t="shared" ref="N67:N130" si="7">IFERROR(ABS((C67-M67)/M67),0)</f>
        <v>0.20495849600951288</v>
      </c>
    </row>
    <row r="68" spans="1:14" x14ac:dyDescent="0.25">
      <c r="A68" s="19" t="s">
        <v>21</v>
      </c>
      <c r="B68" s="2">
        <v>38929</v>
      </c>
      <c r="C68" s="3">
        <v>101.86</v>
      </c>
      <c r="D68" s="3">
        <v>116.3250732421875</v>
      </c>
      <c r="E68" s="3">
        <v>86.3250732421875</v>
      </c>
      <c r="F68" s="3">
        <v>146.3250732421875</v>
      </c>
      <c r="G68" t="s">
        <v>3</v>
      </c>
      <c r="H68" s="8">
        <f t="shared" si="4"/>
        <v>0.14200935835644513</v>
      </c>
      <c r="I68" s="13">
        <v>123.0507125854492</v>
      </c>
      <c r="J68" s="8">
        <f t="shared" si="5"/>
        <v>0.20803762601069317</v>
      </c>
      <c r="K68" s="13">
        <v>124.3679885864258</v>
      </c>
      <c r="L68" s="8">
        <f t="shared" si="6"/>
        <v>0.22096984671535241</v>
      </c>
      <c r="M68" s="3">
        <v>142.14701843261719</v>
      </c>
      <c r="N68" s="8">
        <f t="shared" si="7"/>
        <v>0.28341796315421619</v>
      </c>
    </row>
    <row r="69" spans="1:14" x14ac:dyDescent="0.25">
      <c r="A69" s="19" t="s">
        <v>21</v>
      </c>
      <c r="B69" s="2">
        <v>38960</v>
      </c>
      <c r="C69" s="3">
        <v>92.87</v>
      </c>
      <c r="D69" s="3">
        <v>114.8958206176758</v>
      </c>
      <c r="E69" s="3">
        <v>84.895820617675795</v>
      </c>
      <c r="F69" s="3">
        <v>144.89582061767578</v>
      </c>
      <c r="G69" t="s">
        <v>3</v>
      </c>
      <c r="H69" s="8">
        <f t="shared" si="4"/>
        <v>0.23716830642484968</v>
      </c>
      <c r="I69" s="13">
        <v>123.7179870605469</v>
      </c>
      <c r="J69" s="8">
        <f t="shared" si="5"/>
        <v>0.33216309960748247</v>
      </c>
      <c r="K69" s="13">
        <v>125.7583084106445</v>
      </c>
      <c r="L69" s="8">
        <f t="shared" si="6"/>
        <v>0.35413274911860121</v>
      </c>
      <c r="M69" s="3">
        <v>130.66265869140619</v>
      </c>
      <c r="N69" s="8">
        <f t="shared" si="7"/>
        <v>0.28923840269210632</v>
      </c>
    </row>
    <row r="70" spans="1:14" x14ac:dyDescent="0.25">
      <c r="A70" s="19" t="s">
        <v>21</v>
      </c>
      <c r="B70" s="2">
        <v>38990</v>
      </c>
      <c r="C70" s="3">
        <v>202.69</v>
      </c>
      <c r="D70" s="3">
        <v>176.49678039550781</v>
      </c>
      <c r="E70" s="3">
        <v>146.49678039550781</v>
      </c>
      <c r="F70" s="3">
        <v>206.49678039550781</v>
      </c>
      <c r="G70" t="s">
        <v>3</v>
      </c>
      <c r="H70" s="8">
        <f t="shared" si="4"/>
        <v>0.1292279816690127</v>
      </c>
      <c r="I70" s="13">
        <v>186.82533264160159</v>
      </c>
      <c r="J70" s="8">
        <f t="shared" si="5"/>
        <v>7.8270597258860361E-2</v>
      </c>
      <c r="K70" s="13">
        <v>191.5654602050781</v>
      </c>
      <c r="L70" s="8">
        <f t="shared" si="6"/>
        <v>5.4884502417099516E-2</v>
      </c>
      <c r="M70" s="3">
        <v>195.1290588378906</v>
      </c>
      <c r="N70" s="8">
        <f t="shared" si="7"/>
        <v>3.8748411985069238E-2</v>
      </c>
    </row>
    <row r="71" spans="1:14" x14ac:dyDescent="0.25">
      <c r="A71" s="19" t="s">
        <v>21</v>
      </c>
      <c r="B71" s="2">
        <v>39021</v>
      </c>
      <c r="C71" s="3">
        <v>241.58</v>
      </c>
      <c r="D71" s="3">
        <v>272.13327026367188</v>
      </c>
      <c r="E71" s="3">
        <v>242.13327026367188</v>
      </c>
      <c r="F71" s="3">
        <v>302.13327026367188</v>
      </c>
      <c r="G71" t="s">
        <v>3</v>
      </c>
      <c r="H71" s="8">
        <f t="shared" si="4"/>
        <v>0.12647268094905151</v>
      </c>
      <c r="I71" s="13">
        <v>282.56515502929688</v>
      </c>
      <c r="J71" s="8">
        <f t="shared" si="5"/>
        <v>0.16965458659366198</v>
      </c>
      <c r="K71" s="13">
        <v>286.4732666015625</v>
      </c>
      <c r="L71" s="8">
        <f t="shared" si="6"/>
        <v>0.18583188426840999</v>
      </c>
      <c r="M71" s="3">
        <v>275.62820434570313</v>
      </c>
      <c r="N71" s="8">
        <f t="shared" si="7"/>
        <v>0.12352946399853403</v>
      </c>
    </row>
    <row r="72" spans="1:14" x14ac:dyDescent="0.25">
      <c r="A72" s="19" t="s">
        <v>21</v>
      </c>
      <c r="B72" s="2">
        <v>39051</v>
      </c>
      <c r="C72" s="3">
        <v>308.24</v>
      </c>
      <c r="D72" s="3">
        <v>280.29965209960938</v>
      </c>
      <c r="E72" s="3">
        <v>250.29965209960938</v>
      </c>
      <c r="F72" s="3">
        <v>310.29965209960938</v>
      </c>
      <c r="G72" t="s">
        <v>3</v>
      </c>
      <c r="H72" s="8">
        <f t="shared" si="4"/>
        <v>9.0644782962596135E-2</v>
      </c>
      <c r="I72" s="13">
        <v>299.74920654296881</v>
      </c>
      <c r="J72" s="8">
        <f t="shared" si="5"/>
        <v>2.7546046772097075E-2</v>
      </c>
      <c r="K72" s="13">
        <v>300.36761474609381</v>
      </c>
      <c r="L72" s="8">
        <f t="shared" si="6"/>
        <v>2.5539791246775894E-2</v>
      </c>
      <c r="M72" s="3">
        <v>306.48184204101563</v>
      </c>
      <c r="N72" s="8">
        <f t="shared" si="7"/>
        <v>5.73658115363681E-3</v>
      </c>
    </row>
    <row r="73" spans="1:14" x14ac:dyDescent="0.25">
      <c r="A73" s="19" t="s">
        <v>21</v>
      </c>
      <c r="B73" s="2">
        <v>39082</v>
      </c>
      <c r="C73" s="3">
        <v>335.97</v>
      </c>
      <c r="D73" s="3">
        <v>311.41302490234381</v>
      </c>
      <c r="E73" s="3">
        <v>281.41302490234381</v>
      </c>
      <c r="F73" s="3">
        <v>341.41302490234381</v>
      </c>
      <c r="G73" t="s">
        <v>3</v>
      </c>
      <c r="H73" s="8">
        <f t="shared" si="4"/>
        <v>7.3092761549115148E-2</v>
      </c>
      <c r="I73" s="13">
        <v>291.43222045898438</v>
      </c>
      <c r="J73" s="8">
        <f t="shared" si="5"/>
        <v>0.13256475143916316</v>
      </c>
      <c r="K73" s="13">
        <v>299.36279296875</v>
      </c>
      <c r="L73" s="8">
        <f t="shared" si="6"/>
        <v>0.10895974947539966</v>
      </c>
      <c r="M73" s="3">
        <v>330.46774291992188</v>
      </c>
      <c r="N73" s="8">
        <f t="shared" si="7"/>
        <v>1.6649906679126154E-2</v>
      </c>
    </row>
    <row r="74" spans="1:14" x14ac:dyDescent="0.25">
      <c r="A74" s="19" t="s">
        <v>21</v>
      </c>
      <c r="B74" s="2">
        <v>39113</v>
      </c>
      <c r="C74" s="3">
        <v>215.17</v>
      </c>
      <c r="D74" s="3">
        <v>299.00775146484381</v>
      </c>
      <c r="E74" s="3">
        <v>269.00775146484381</v>
      </c>
      <c r="F74" s="3">
        <v>329.00775146484381</v>
      </c>
      <c r="G74" t="s">
        <v>3</v>
      </c>
      <c r="H74" s="8">
        <f t="shared" si="4"/>
        <v>0.38963494662287412</v>
      </c>
      <c r="I74" s="13">
        <v>268.66403198242188</v>
      </c>
      <c r="J74" s="8">
        <f t="shared" si="5"/>
        <v>0.24861287346015656</v>
      </c>
      <c r="K74" s="13">
        <v>286.647705078125</v>
      </c>
      <c r="L74" s="8">
        <f t="shared" si="6"/>
        <v>0.33219177895675522</v>
      </c>
      <c r="M74" s="3">
        <v>264.97772216796881</v>
      </c>
      <c r="N74" s="8">
        <f t="shared" si="7"/>
        <v>0.18796947064250108</v>
      </c>
    </row>
    <row r="75" spans="1:14" x14ac:dyDescent="0.25">
      <c r="A75" s="19" t="s">
        <v>21</v>
      </c>
      <c r="B75" s="2">
        <v>39141</v>
      </c>
      <c r="C75" s="3">
        <v>173.13</v>
      </c>
      <c r="D75" s="3">
        <v>250.9813232421875</v>
      </c>
      <c r="E75" s="3">
        <v>220.9813232421875</v>
      </c>
      <c r="F75" s="3">
        <v>280.9813232421875</v>
      </c>
      <c r="G75" t="s">
        <v>3</v>
      </c>
      <c r="H75" s="8">
        <f t="shared" si="4"/>
        <v>0.44966974667699133</v>
      </c>
      <c r="I75" s="13">
        <v>250.41925048828119</v>
      </c>
      <c r="J75" s="8">
        <f t="shared" si="5"/>
        <v>0.4464232108143083</v>
      </c>
      <c r="K75" s="13">
        <v>287.8333740234375</v>
      </c>
      <c r="L75" s="8">
        <f t="shared" si="6"/>
        <v>0.66252743039009709</v>
      </c>
      <c r="M75" s="3">
        <v>227.6965637207031</v>
      </c>
      <c r="N75" s="8">
        <f t="shared" si="7"/>
        <v>0.23964596930692147</v>
      </c>
    </row>
    <row r="76" spans="1:14" x14ac:dyDescent="0.25">
      <c r="A76" s="19" t="s">
        <v>21</v>
      </c>
      <c r="B76" s="2">
        <v>39172</v>
      </c>
      <c r="C76" s="3">
        <v>337.09</v>
      </c>
      <c r="D76" s="3">
        <v>330.44491577148438</v>
      </c>
      <c r="E76" s="3">
        <v>300.44491577148438</v>
      </c>
      <c r="F76" s="3">
        <v>360.44491577148438</v>
      </c>
      <c r="G76" t="s">
        <v>3</v>
      </c>
      <c r="H76" s="8">
        <f t="shared" si="4"/>
        <v>1.9713086204027414E-2</v>
      </c>
      <c r="I76" s="13">
        <v>355.81005859375</v>
      </c>
      <c r="J76" s="8">
        <f t="shared" si="5"/>
        <v>5.5534304173217912E-2</v>
      </c>
      <c r="K76" s="13">
        <v>313.19943237304688</v>
      </c>
      <c r="L76" s="8">
        <f t="shared" si="6"/>
        <v>7.0872964570153671E-2</v>
      </c>
      <c r="M76" s="3">
        <v>315.522216796875</v>
      </c>
      <c r="N76" s="8">
        <f t="shared" si="7"/>
        <v>6.8355830603870765E-2</v>
      </c>
    </row>
    <row r="77" spans="1:14" x14ac:dyDescent="0.25">
      <c r="A77" s="19" t="s">
        <v>21</v>
      </c>
      <c r="B77" s="2">
        <v>39202</v>
      </c>
      <c r="C77" s="3">
        <v>381.87</v>
      </c>
      <c r="D77" s="3">
        <v>274.33074951171881</v>
      </c>
      <c r="E77" s="3">
        <v>244.33074951171881</v>
      </c>
      <c r="F77" s="3">
        <v>304.33074951171881</v>
      </c>
      <c r="G77" t="s">
        <v>3</v>
      </c>
      <c r="H77" s="8">
        <f t="shared" si="4"/>
        <v>0.28161219914704272</v>
      </c>
      <c r="I77" s="13">
        <v>311.25930786132813</v>
      </c>
      <c r="J77" s="8">
        <f t="shared" si="5"/>
        <v>0.18490767051266629</v>
      </c>
      <c r="K77" s="13">
        <v>320.56289672851563</v>
      </c>
      <c r="L77" s="8">
        <f t="shared" si="6"/>
        <v>0.16054443468060958</v>
      </c>
      <c r="M77" s="3">
        <v>360.2266845703125</v>
      </c>
      <c r="N77" s="8">
        <f t="shared" si="7"/>
        <v>6.0082487935351592E-2</v>
      </c>
    </row>
    <row r="78" spans="1:14" x14ac:dyDescent="0.25">
      <c r="A78" s="19" t="s">
        <v>21</v>
      </c>
      <c r="B78" s="2">
        <v>39233</v>
      </c>
      <c r="C78" s="3">
        <v>252.43</v>
      </c>
      <c r="D78" s="3">
        <v>242.10008239746091</v>
      </c>
      <c r="E78" s="3">
        <v>212.10008239746091</v>
      </c>
      <c r="F78" s="3">
        <v>272.10008239746094</v>
      </c>
      <c r="G78" t="s">
        <v>3</v>
      </c>
      <c r="H78" s="8">
        <f t="shared" si="4"/>
        <v>4.0921909450299478E-2</v>
      </c>
      <c r="I78" s="13">
        <v>231.40660095214841</v>
      </c>
      <c r="J78" s="8">
        <f t="shared" si="5"/>
        <v>8.3284074982575756E-2</v>
      </c>
      <c r="K78" s="13">
        <v>255.09730529785159</v>
      </c>
      <c r="L78" s="8">
        <f t="shared" si="6"/>
        <v>1.0566514668825354E-2</v>
      </c>
      <c r="M78" s="3">
        <v>249.819091796875</v>
      </c>
      <c r="N78" s="8">
        <f t="shared" si="7"/>
        <v>1.0451195640595419E-2</v>
      </c>
    </row>
    <row r="79" spans="1:14" x14ac:dyDescent="0.25">
      <c r="A79" s="19" t="s">
        <v>21</v>
      </c>
      <c r="B79" s="2">
        <v>39263</v>
      </c>
      <c r="C79" s="3">
        <v>160.54</v>
      </c>
      <c r="D79" s="3">
        <v>157.25709533691409</v>
      </c>
      <c r="E79" s="3">
        <v>127.25709533691409</v>
      </c>
      <c r="F79" s="3">
        <v>187.25709533691409</v>
      </c>
      <c r="G79" t="s">
        <v>3</v>
      </c>
      <c r="H79" s="8">
        <f t="shared" si="4"/>
        <v>2.0449138302515893E-2</v>
      </c>
      <c r="I79" s="13">
        <v>145.68806457519531</v>
      </c>
      <c r="J79" s="8">
        <f t="shared" si="5"/>
        <v>9.2512367165844531E-2</v>
      </c>
      <c r="K79" s="13">
        <v>152.35462951660159</v>
      </c>
      <c r="L79" s="8">
        <f t="shared" si="6"/>
        <v>5.0986486130549402E-2</v>
      </c>
      <c r="M79" s="3">
        <v>145.994873046875</v>
      </c>
      <c r="N79" s="8">
        <f t="shared" si="7"/>
        <v>9.9627655749629965E-2</v>
      </c>
    </row>
    <row r="80" spans="1:14" x14ac:dyDescent="0.25">
      <c r="A80" s="19" t="s">
        <v>21</v>
      </c>
      <c r="B80" s="2">
        <v>39294</v>
      </c>
      <c r="C80" s="3">
        <v>105.88</v>
      </c>
      <c r="D80" s="3">
        <v>126.5664825439453</v>
      </c>
      <c r="E80" s="3">
        <v>96.566482543945298</v>
      </c>
      <c r="F80" s="3">
        <v>156.56648254394531</v>
      </c>
      <c r="G80" t="s">
        <v>3</v>
      </c>
      <c r="H80" s="8">
        <f t="shared" si="4"/>
        <v>0.195376676841191</v>
      </c>
      <c r="I80" s="13">
        <v>118.4879608154297</v>
      </c>
      <c r="J80" s="8">
        <f t="shared" si="5"/>
        <v>0.11907783165309507</v>
      </c>
      <c r="K80" s="13">
        <v>110.3626708984375</v>
      </c>
      <c r="L80" s="8">
        <f t="shared" si="6"/>
        <v>4.2337277091400685E-2</v>
      </c>
      <c r="M80" s="3">
        <v>139.65422058105469</v>
      </c>
      <c r="N80" s="8">
        <f t="shared" si="7"/>
        <v>0.2418417462825786</v>
      </c>
    </row>
    <row r="81" spans="1:14" x14ac:dyDescent="0.25">
      <c r="A81" s="19" t="s">
        <v>21</v>
      </c>
      <c r="B81" s="2">
        <v>39325</v>
      </c>
      <c r="C81" s="3">
        <v>158.22</v>
      </c>
      <c r="D81" s="3">
        <v>114.3240127563477</v>
      </c>
      <c r="E81" s="3">
        <v>84.324012756347699</v>
      </c>
      <c r="F81" s="3">
        <v>144.32401275634771</v>
      </c>
      <c r="G81" t="s">
        <v>3</v>
      </c>
      <c r="H81" s="8">
        <f t="shared" si="4"/>
        <v>0.27743640022533372</v>
      </c>
      <c r="I81" s="13">
        <v>117.23828125</v>
      </c>
      <c r="J81" s="8">
        <f t="shared" si="5"/>
        <v>0.25901730975856402</v>
      </c>
      <c r="K81" s="13">
        <v>116.28607177734381</v>
      </c>
      <c r="L81" s="8">
        <f t="shared" si="6"/>
        <v>0.26503557213156487</v>
      </c>
      <c r="M81" s="3">
        <v>139.80592346191409</v>
      </c>
      <c r="N81" s="8">
        <f t="shared" si="7"/>
        <v>0.13171170492716833</v>
      </c>
    </row>
    <row r="82" spans="1:14" x14ac:dyDescent="0.25">
      <c r="A82" s="19" t="s">
        <v>21</v>
      </c>
      <c r="B82" s="2">
        <v>39355</v>
      </c>
      <c r="C82" s="3">
        <v>140.4</v>
      </c>
      <c r="D82" s="3">
        <v>175.8623352050781</v>
      </c>
      <c r="E82" s="3">
        <v>145.8623352050781</v>
      </c>
      <c r="F82" s="3">
        <v>205.8623352050781</v>
      </c>
      <c r="G82" t="s">
        <v>3</v>
      </c>
      <c r="H82" s="8">
        <f t="shared" si="4"/>
        <v>0.25258073507890377</v>
      </c>
      <c r="I82" s="13">
        <v>187.59307861328119</v>
      </c>
      <c r="J82" s="8">
        <f t="shared" si="5"/>
        <v>0.3361330385561338</v>
      </c>
      <c r="K82" s="13">
        <v>185.94822692871091</v>
      </c>
      <c r="L82" s="8">
        <f t="shared" si="6"/>
        <v>0.32441757071731414</v>
      </c>
      <c r="M82" s="3">
        <v>178.5986022949219</v>
      </c>
      <c r="N82" s="8">
        <f t="shared" si="7"/>
        <v>0.21387962617895581</v>
      </c>
    </row>
    <row r="83" spans="1:14" x14ac:dyDescent="0.25">
      <c r="A83" s="19" t="s">
        <v>21</v>
      </c>
      <c r="B83" s="2">
        <v>39386</v>
      </c>
      <c r="C83" s="3">
        <v>286.27999999999997</v>
      </c>
      <c r="D83" s="3">
        <v>287.19207763671881</v>
      </c>
      <c r="E83" s="3">
        <v>257.19207763671881</v>
      </c>
      <c r="F83" s="3">
        <v>317.19207763671881</v>
      </c>
      <c r="G83" t="s">
        <v>3</v>
      </c>
      <c r="H83" s="8">
        <f t="shared" si="4"/>
        <v>3.1859635207448448E-3</v>
      </c>
      <c r="I83" s="13">
        <v>271.69418334960938</v>
      </c>
      <c r="J83" s="8">
        <f t="shared" si="5"/>
        <v>5.0949478309314657E-2</v>
      </c>
      <c r="K83" s="13">
        <v>279.76239013671881</v>
      </c>
      <c r="L83" s="8">
        <f t="shared" si="6"/>
        <v>2.2766556739140586E-2</v>
      </c>
      <c r="M83" s="3">
        <v>281.91571044921881</v>
      </c>
      <c r="N83" s="8">
        <f t="shared" si="7"/>
        <v>1.5480831287574876E-2</v>
      </c>
    </row>
    <row r="84" spans="1:14" x14ac:dyDescent="0.25">
      <c r="A84" s="19" t="s">
        <v>21</v>
      </c>
      <c r="B84" s="2">
        <v>39416</v>
      </c>
      <c r="C84" s="3">
        <v>344.51</v>
      </c>
      <c r="D84" s="3">
        <v>289.15576171875</v>
      </c>
      <c r="E84" s="3">
        <v>259.15576171875</v>
      </c>
      <c r="F84" s="3">
        <v>319.15576171875</v>
      </c>
      <c r="G84" t="s">
        <v>3</v>
      </c>
      <c r="H84" s="8">
        <f t="shared" si="4"/>
        <v>0.16067527294200457</v>
      </c>
      <c r="I84" s="13">
        <v>284.46499633789063</v>
      </c>
      <c r="J84" s="8">
        <f t="shared" si="5"/>
        <v>0.17429103266119814</v>
      </c>
      <c r="K84" s="13">
        <v>298.29635620117188</v>
      </c>
      <c r="L84" s="8">
        <f t="shared" si="6"/>
        <v>0.13414311282351199</v>
      </c>
      <c r="M84" s="3">
        <v>290.88275146484381</v>
      </c>
      <c r="N84" s="8">
        <f t="shared" si="7"/>
        <v>0.18436035916566745</v>
      </c>
    </row>
    <row r="85" spans="1:14" x14ac:dyDescent="0.25">
      <c r="A85" s="19" t="s">
        <v>21</v>
      </c>
      <c r="B85" s="2">
        <v>39447</v>
      </c>
      <c r="C85" s="3">
        <v>287.10000000000002</v>
      </c>
      <c r="D85" s="3">
        <v>311.42721557617188</v>
      </c>
      <c r="E85" s="3">
        <v>281.42721557617188</v>
      </c>
      <c r="F85" s="3">
        <v>341.42721557617188</v>
      </c>
      <c r="G85" t="s">
        <v>3</v>
      </c>
      <c r="H85" s="8">
        <f t="shared" si="4"/>
        <v>8.4734293194607624E-2</v>
      </c>
      <c r="I85" s="13">
        <v>309.8250732421875</v>
      </c>
      <c r="J85" s="8">
        <f t="shared" si="5"/>
        <v>7.9153860126044848E-2</v>
      </c>
      <c r="K85" s="13">
        <v>295.93936157226563</v>
      </c>
      <c r="L85" s="8">
        <f t="shared" si="6"/>
        <v>3.0788441561357023E-2</v>
      </c>
      <c r="M85" s="3">
        <v>302.9212646484375</v>
      </c>
      <c r="N85" s="8">
        <f t="shared" si="7"/>
        <v>5.2228966714499968E-2</v>
      </c>
    </row>
    <row r="86" spans="1:14" x14ac:dyDescent="0.25">
      <c r="A86" s="19" t="s">
        <v>21</v>
      </c>
      <c r="B86" s="2">
        <v>39478</v>
      </c>
      <c r="C86" s="3">
        <v>301.39</v>
      </c>
      <c r="D86" s="3">
        <v>307.21530151367188</v>
      </c>
      <c r="E86" s="3">
        <v>277.21530151367188</v>
      </c>
      <c r="F86" s="3">
        <v>337.21530151367188</v>
      </c>
      <c r="G86" t="s">
        <v>3</v>
      </c>
      <c r="H86" s="8">
        <f t="shared" si="4"/>
        <v>1.9328118098383786E-2</v>
      </c>
      <c r="I86" s="13">
        <v>340.78985595703119</v>
      </c>
      <c r="J86" s="8">
        <f t="shared" si="5"/>
        <v>0.13072715072507785</v>
      </c>
      <c r="K86" s="13">
        <v>284.403564453125</v>
      </c>
      <c r="L86" s="8">
        <f t="shared" si="6"/>
        <v>5.636031569353657E-2</v>
      </c>
      <c r="M86" s="3">
        <v>277.2696533203125</v>
      </c>
      <c r="N86" s="8">
        <f t="shared" si="7"/>
        <v>8.6992378685678745E-2</v>
      </c>
    </row>
    <row r="87" spans="1:14" x14ac:dyDescent="0.25">
      <c r="A87" s="19" t="s">
        <v>21</v>
      </c>
      <c r="B87" s="2">
        <v>39507</v>
      </c>
      <c r="C87" s="3">
        <v>322.19</v>
      </c>
      <c r="D87" s="3">
        <v>326.30514526367188</v>
      </c>
      <c r="E87" s="3">
        <v>296.30514526367188</v>
      </c>
      <c r="F87" s="3">
        <v>356.30514526367188</v>
      </c>
      <c r="G87" t="s">
        <v>3</v>
      </c>
      <c r="H87" s="8">
        <f t="shared" si="4"/>
        <v>1.2772417715235971E-2</v>
      </c>
      <c r="I87" s="13">
        <v>283.46832275390619</v>
      </c>
      <c r="J87" s="8">
        <f t="shared" si="5"/>
        <v>0.12018274076195352</v>
      </c>
      <c r="K87" s="13">
        <v>290.92169189453119</v>
      </c>
      <c r="L87" s="8">
        <f t="shared" si="6"/>
        <v>9.7049281807221846E-2</v>
      </c>
      <c r="M87" s="3">
        <v>309.88238525390619</v>
      </c>
      <c r="N87" s="8">
        <f t="shared" si="7"/>
        <v>3.9717051796956448E-2</v>
      </c>
    </row>
    <row r="88" spans="1:14" x14ac:dyDescent="0.25">
      <c r="A88" s="19" t="s">
        <v>21</v>
      </c>
      <c r="B88" s="2">
        <v>39538</v>
      </c>
      <c r="C88" s="3">
        <v>340.28</v>
      </c>
      <c r="D88" s="3">
        <v>340.43017578125</v>
      </c>
      <c r="E88" s="3">
        <v>310.43017578125</v>
      </c>
      <c r="F88" s="3">
        <v>370.43017578125</v>
      </c>
      <c r="G88" t="s">
        <v>3</v>
      </c>
      <c r="H88" s="8">
        <f t="shared" si="4"/>
        <v>4.4133002600807366E-4</v>
      </c>
      <c r="I88" s="13">
        <v>372.90884399414063</v>
      </c>
      <c r="J88" s="8">
        <f t="shared" si="5"/>
        <v>9.5888221447456956E-2</v>
      </c>
      <c r="K88" s="13">
        <v>322.99801635742188</v>
      </c>
      <c r="L88" s="8">
        <f t="shared" si="6"/>
        <v>5.078753862283443E-2</v>
      </c>
      <c r="M88" s="3">
        <v>332.41522216796881</v>
      </c>
      <c r="N88" s="8">
        <f t="shared" si="7"/>
        <v>2.365949964847611E-2</v>
      </c>
    </row>
    <row r="89" spans="1:14" x14ac:dyDescent="0.25">
      <c r="A89" s="19" t="s">
        <v>21</v>
      </c>
      <c r="B89" s="2">
        <v>39568</v>
      </c>
      <c r="C89" s="3">
        <v>313.07</v>
      </c>
      <c r="D89" s="3">
        <v>314.21524047851563</v>
      </c>
      <c r="E89" s="3">
        <v>284.21524047851563</v>
      </c>
      <c r="F89" s="3">
        <v>344.21524047851563</v>
      </c>
      <c r="G89" t="s">
        <v>3</v>
      </c>
      <c r="H89" s="8">
        <f t="shared" si="4"/>
        <v>3.6580971620264855E-3</v>
      </c>
      <c r="I89" s="13">
        <v>347.1051025390625</v>
      </c>
      <c r="J89" s="8">
        <f t="shared" si="5"/>
        <v>0.1087140337274811</v>
      </c>
      <c r="K89" s="13">
        <v>333.06201171875</v>
      </c>
      <c r="L89" s="8">
        <f t="shared" si="6"/>
        <v>6.3857960579902284E-2</v>
      </c>
      <c r="M89" s="3">
        <v>320.32717895507813</v>
      </c>
      <c r="N89" s="8">
        <f t="shared" si="7"/>
        <v>2.2655520454902954E-2</v>
      </c>
    </row>
    <row r="90" spans="1:14" x14ac:dyDescent="0.25">
      <c r="A90" s="19" t="s">
        <v>21</v>
      </c>
      <c r="B90" s="2">
        <v>39599</v>
      </c>
      <c r="C90" s="3">
        <v>338.81</v>
      </c>
      <c r="D90" s="3">
        <v>289.14352416992188</v>
      </c>
      <c r="E90" s="3">
        <v>259.14352416992188</v>
      </c>
      <c r="F90" s="3">
        <v>319.14352416992188</v>
      </c>
      <c r="G90" t="s">
        <v>3</v>
      </c>
      <c r="H90" s="8">
        <f t="shared" si="4"/>
        <v>0.14659093837276976</v>
      </c>
      <c r="I90" s="13">
        <v>280.9637451171875</v>
      </c>
      <c r="J90" s="8">
        <f t="shared" si="5"/>
        <v>0.17073361141292318</v>
      </c>
      <c r="K90" s="13">
        <v>283.40286254882813</v>
      </c>
      <c r="L90" s="8">
        <f t="shared" si="6"/>
        <v>0.16353453986355737</v>
      </c>
      <c r="M90" s="3">
        <v>300.50057983398438</v>
      </c>
      <c r="N90" s="8">
        <f t="shared" si="7"/>
        <v>0.12748534524352728</v>
      </c>
    </row>
    <row r="91" spans="1:14" x14ac:dyDescent="0.25">
      <c r="A91" s="19" t="s">
        <v>21</v>
      </c>
      <c r="B91" s="2">
        <v>39629</v>
      </c>
      <c r="C91" s="3">
        <v>208.09</v>
      </c>
      <c r="D91" s="3">
        <v>174.01593017578119</v>
      </c>
      <c r="E91" s="3">
        <v>144.01593017578119</v>
      </c>
      <c r="F91" s="3">
        <v>204.01593017578119</v>
      </c>
      <c r="G91" t="s">
        <v>3</v>
      </c>
      <c r="H91" s="8">
        <f t="shared" si="4"/>
        <v>0.16374679140861556</v>
      </c>
      <c r="I91" s="13">
        <v>162.95622253417969</v>
      </c>
      <c r="J91" s="8">
        <f t="shared" si="5"/>
        <v>0.21689546573992174</v>
      </c>
      <c r="K91" s="13">
        <v>181.32826232910159</v>
      </c>
      <c r="L91" s="8">
        <f t="shared" si="6"/>
        <v>0.12860655327453704</v>
      </c>
      <c r="M91" s="3">
        <v>201.2303161621094</v>
      </c>
      <c r="N91" s="8">
        <f t="shared" si="7"/>
        <v>3.4088719675640214E-2</v>
      </c>
    </row>
    <row r="92" spans="1:14" x14ac:dyDescent="0.25">
      <c r="A92" s="19" t="s">
        <v>21</v>
      </c>
      <c r="B92" s="2">
        <v>39660</v>
      </c>
      <c r="C92" s="3">
        <v>152.41</v>
      </c>
      <c r="D92" s="3">
        <v>142.7956237792969</v>
      </c>
      <c r="E92" s="3">
        <v>112.7956237792969</v>
      </c>
      <c r="F92" s="3">
        <v>172.7956237792969</v>
      </c>
      <c r="G92" t="s">
        <v>3</v>
      </c>
      <c r="H92" s="8">
        <f t="shared" si="4"/>
        <v>6.3082318881327301E-2</v>
      </c>
      <c r="I92" s="13">
        <v>131.04493713378909</v>
      </c>
      <c r="J92" s="8">
        <f t="shared" si="5"/>
        <v>0.14018150296050721</v>
      </c>
      <c r="K92" s="13">
        <v>129.7502746582031</v>
      </c>
      <c r="L92" s="8">
        <f t="shared" si="6"/>
        <v>0.14867610617280297</v>
      </c>
      <c r="M92" s="3">
        <v>130.8741149902344</v>
      </c>
      <c r="N92" s="8">
        <f t="shared" si="7"/>
        <v>0.16455419783639083</v>
      </c>
    </row>
    <row r="93" spans="1:14" x14ac:dyDescent="0.25">
      <c r="A93" s="19" t="s">
        <v>21</v>
      </c>
      <c r="B93" s="2">
        <v>39691</v>
      </c>
      <c r="C93" s="3">
        <v>183.02</v>
      </c>
      <c r="D93" s="3">
        <v>166.61903381347659</v>
      </c>
      <c r="E93" s="3">
        <v>136.61903381347659</v>
      </c>
      <c r="F93" s="3">
        <v>196.61903381347659</v>
      </c>
      <c r="G93" t="s">
        <v>3</v>
      </c>
      <c r="H93" s="8">
        <f t="shared" si="4"/>
        <v>8.9612972279113856E-2</v>
      </c>
      <c r="I93" s="13">
        <v>143.1689758300781</v>
      </c>
      <c r="J93" s="8">
        <f t="shared" si="5"/>
        <v>0.21774136252825874</v>
      </c>
      <c r="K93" s="13">
        <v>132.6809997558594</v>
      </c>
      <c r="L93" s="8">
        <f t="shared" si="6"/>
        <v>0.27504644434564857</v>
      </c>
      <c r="M93" s="3">
        <v>156.63887023925781</v>
      </c>
      <c r="N93" s="8">
        <f t="shared" si="7"/>
        <v>0.16842007172578799</v>
      </c>
    </row>
    <row r="94" spans="1:14" x14ac:dyDescent="0.25">
      <c r="A94" s="19" t="s">
        <v>21</v>
      </c>
      <c r="B94" s="2">
        <v>39721</v>
      </c>
      <c r="C94" s="3">
        <v>217.37</v>
      </c>
      <c r="D94" s="3">
        <v>222.31669616699219</v>
      </c>
      <c r="E94" s="3">
        <v>192.31669616699219</v>
      </c>
      <c r="F94" s="3">
        <v>252.31669616699219</v>
      </c>
      <c r="G94" t="s">
        <v>3</v>
      </c>
      <c r="H94" s="8">
        <f t="shared" si="4"/>
        <v>2.2757032557354662E-2</v>
      </c>
      <c r="I94" s="13">
        <v>211.93638610839841</v>
      </c>
      <c r="J94" s="8">
        <f t="shared" si="5"/>
        <v>2.4997073614581568E-2</v>
      </c>
      <c r="K94" s="13">
        <v>198.27162170410159</v>
      </c>
      <c r="L94" s="8">
        <f t="shared" si="6"/>
        <v>8.7861150553886977E-2</v>
      </c>
      <c r="M94" s="3">
        <v>192.97627258300781</v>
      </c>
      <c r="N94" s="8">
        <f t="shared" si="7"/>
        <v>0.12640791062279094</v>
      </c>
    </row>
    <row r="95" spans="1:14" x14ac:dyDescent="0.25">
      <c r="A95" s="19" t="s">
        <v>21</v>
      </c>
      <c r="B95" s="2">
        <v>39752</v>
      </c>
      <c r="C95" s="3">
        <v>331.15</v>
      </c>
      <c r="D95" s="3">
        <v>289.12518310546881</v>
      </c>
      <c r="E95" s="3">
        <v>259.12518310546881</v>
      </c>
      <c r="F95" s="3">
        <v>319.12518310546881</v>
      </c>
      <c r="G95" t="s">
        <v>3</v>
      </c>
      <c r="H95" s="8">
        <f t="shared" si="4"/>
        <v>0.12690568290663196</v>
      </c>
      <c r="I95" s="13">
        <v>278.249267578125</v>
      </c>
      <c r="J95" s="8">
        <f t="shared" si="5"/>
        <v>0.15974855026989274</v>
      </c>
      <c r="K95" s="13">
        <v>295.0323486328125</v>
      </c>
      <c r="L95" s="8">
        <f t="shared" si="6"/>
        <v>0.10906734521270565</v>
      </c>
      <c r="M95" s="3">
        <v>299.60946655273438</v>
      </c>
      <c r="N95" s="8">
        <f t="shared" si="7"/>
        <v>0.10527215247958176</v>
      </c>
    </row>
    <row r="96" spans="1:14" x14ac:dyDescent="0.25">
      <c r="A96" s="19" t="s">
        <v>21</v>
      </c>
      <c r="B96" s="2">
        <v>39782</v>
      </c>
      <c r="C96" s="3">
        <v>271.25</v>
      </c>
      <c r="D96" s="3">
        <v>314.28366088867188</v>
      </c>
      <c r="E96" s="3">
        <v>284.28366088867188</v>
      </c>
      <c r="F96" s="3">
        <v>344.28366088867188</v>
      </c>
      <c r="G96" t="s">
        <v>3</v>
      </c>
      <c r="H96" s="8">
        <f t="shared" si="4"/>
        <v>0.1586494410642281</v>
      </c>
      <c r="I96" s="13">
        <v>322.74447631835938</v>
      </c>
      <c r="J96" s="8">
        <f t="shared" si="5"/>
        <v>0.18984138734879033</v>
      </c>
      <c r="K96" s="13">
        <v>318.990478515625</v>
      </c>
      <c r="L96" s="8">
        <f t="shared" si="6"/>
        <v>0.17600176411290322</v>
      </c>
      <c r="M96" s="3">
        <v>305.27532958984381</v>
      </c>
      <c r="N96" s="8">
        <f t="shared" si="7"/>
        <v>0.1114578424517924</v>
      </c>
    </row>
    <row r="97" spans="1:14" x14ac:dyDescent="0.25">
      <c r="A97" s="19" t="s">
        <v>21</v>
      </c>
      <c r="B97" s="2">
        <v>39813</v>
      </c>
      <c r="C97" s="3">
        <v>410.01</v>
      </c>
      <c r="D97" s="3">
        <v>354.47879028320313</v>
      </c>
      <c r="E97" s="3">
        <v>324.47879028320313</v>
      </c>
      <c r="F97" s="3">
        <v>384.47879028320313</v>
      </c>
      <c r="G97" t="s">
        <v>3</v>
      </c>
      <c r="H97" s="8">
        <f t="shared" si="4"/>
        <v>0.13543867153678416</v>
      </c>
      <c r="I97" s="13">
        <v>367.47238159179688</v>
      </c>
      <c r="J97" s="8">
        <f t="shared" si="5"/>
        <v>0.1037477583673645</v>
      </c>
      <c r="K97" s="13">
        <v>321.84677124023438</v>
      </c>
      <c r="L97" s="8">
        <f t="shared" si="6"/>
        <v>0.21502702070624038</v>
      </c>
      <c r="M97" s="3">
        <v>340.01681518554688</v>
      </c>
      <c r="N97" s="8">
        <f t="shared" si="7"/>
        <v>0.20585212756686136</v>
      </c>
    </row>
    <row r="98" spans="1:14" x14ac:dyDescent="0.25">
      <c r="A98" s="19" t="s">
        <v>21</v>
      </c>
      <c r="B98" s="2">
        <v>39844</v>
      </c>
      <c r="C98" s="3">
        <v>427.87</v>
      </c>
      <c r="D98" s="3">
        <v>326.96875</v>
      </c>
      <c r="E98" s="3">
        <v>296.96875</v>
      </c>
      <c r="F98" s="3">
        <v>356.96875</v>
      </c>
      <c r="G98" t="s">
        <v>3</v>
      </c>
      <c r="H98" s="8">
        <f t="shared" si="4"/>
        <v>0.23582221235421974</v>
      </c>
      <c r="I98" s="13">
        <v>355.35443115234381</v>
      </c>
      <c r="J98" s="8">
        <f t="shared" si="5"/>
        <v>0.1694803768613275</v>
      </c>
      <c r="K98" s="13">
        <v>319.94830322265619</v>
      </c>
      <c r="L98" s="8">
        <f t="shared" si="6"/>
        <v>0.25223010909235005</v>
      </c>
      <c r="M98" s="3">
        <v>343.89617919921881</v>
      </c>
      <c r="N98" s="8">
        <f t="shared" si="7"/>
        <v>0.24418363994714587</v>
      </c>
    </row>
    <row r="99" spans="1:14" x14ac:dyDescent="0.25">
      <c r="A99" s="19" t="s">
        <v>21</v>
      </c>
      <c r="B99" s="2">
        <v>39872</v>
      </c>
      <c r="C99" s="3">
        <v>252.98</v>
      </c>
      <c r="D99" s="3">
        <v>296.83334350585938</v>
      </c>
      <c r="E99" s="3">
        <v>266.83334350585938</v>
      </c>
      <c r="F99" s="3">
        <v>326.83334350585938</v>
      </c>
      <c r="G99" t="s">
        <v>3</v>
      </c>
      <c r="H99" s="8">
        <f t="shared" si="4"/>
        <v>0.17334707686718076</v>
      </c>
      <c r="I99" s="13">
        <v>333.89724731445313</v>
      </c>
      <c r="J99" s="8">
        <f t="shared" si="5"/>
        <v>0.3198563021363473</v>
      </c>
      <c r="K99" s="13">
        <v>318.27987670898438</v>
      </c>
      <c r="L99" s="8">
        <f t="shared" si="6"/>
        <v>0.25812268443744324</v>
      </c>
      <c r="M99" s="3">
        <v>313.437744140625</v>
      </c>
      <c r="N99" s="8">
        <f t="shared" si="7"/>
        <v>0.19288597263991417</v>
      </c>
    </row>
    <row r="100" spans="1:14" x14ac:dyDescent="0.25">
      <c r="A100" s="19" t="s">
        <v>21</v>
      </c>
      <c r="B100" s="2">
        <v>39903</v>
      </c>
      <c r="C100" s="3">
        <v>287.44</v>
      </c>
      <c r="D100" s="3">
        <v>318.86599731445313</v>
      </c>
      <c r="E100" s="3">
        <v>288.86599731445313</v>
      </c>
      <c r="F100" s="3">
        <v>348.86599731445313</v>
      </c>
      <c r="G100" t="s">
        <v>3</v>
      </c>
      <c r="H100" s="8">
        <f t="shared" si="4"/>
        <v>0.1093306335738002</v>
      </c>
      <c r="I100" s="13">
        <v>323.03460693359381</v>
      </c>
      <c r="J100" s="8">
        <f t="shared" si="5"/>
        <v>0.12383317190924649</v>
      </c>
      <c r="K100" s="13">
        <v>332.91217041015619</v>
      </c>
      <c r="L100" s="8">
        <f t="shared" si="6"/>
        <v>0.15819708603588992</v>
      </c>
      <c r="M100" s="3">
        <v>323.296630859375</v>
      </c>
      <c r="N100" s="8">
        <f t="shared" si="7"/>
        <v>0.11090938610792896</v>
      </c>
    </row>
    <row r="101" spans="1:14" x14ac:dyDescent="0.25">
      <c r="A101" s="19" t="s">
        <v>21</v>
      </c>
      <c r="B101" s="2">
        <v>39933</v>
      </c>
      <c r="C101" s="3">
        <v>249.56</v>
      </c>
      <c r="D101" s="3">
        <v>340.51657104492188</v>
      </c>
      <c r="E101" s="3">
        <v>310.51657104492188</v>
      </c>
      <c r="F101" s="3">
        <v>370.51657104492188</v>
      </c>
      <c r="G101" t="s">
        <v>3</v>
      </c>
      <c r="H101" s="8">
        <f t="shared" si="4"/>
        <v>0.36446774741513815</v>
      </c>
      <c r="I101" s="13">
        <v>301.30184936523438</v>
      </c>
      <c r="J101" s="8">
        <f t="shared" si="5"/>
        <v>0.20733230231300839</v>
      </c>
      <c r="K101" s="13">
        <v>340.49526977539063</v>
      </c>
      <c r="L101" s="8">
        <f t="shared" si="6"/>
        <v>0.36438239211167905</v>
      </c>
      <c r="M101" s="3">
        <v>308.53082275390619</v>
      </c>
      <c r="N101" s="8">
        <f t="shared" si="7"/>
        <v>0.19113429973556698</v>
      </c>
    </row>
    <row r="102" spans="1:14" x14ac:dyDescent="0.25">
      <c r="A102" s="19" t="s">
        <v>21</v>
      </c>
      <c r="B102" s="2">
        <v>39964</v>
      </c>
      <c r="C102" s="3">
        <v>188.34</v>
      </c>
      <c r="D102" s="3">
        <v>285.0548095703125</v>
      </c>
      <c r="E102" s="3">
        <v>255.0548095703125</v>
      </c>
      <c r="F102" s="3">
        <v>315.0548095703125</v>
      </c>
      <c r="G102" t="s">
        <v>3</v>
      </c>
      <c r="H102" s="8">
        <f t="shared" si="4"/>
        <v>0.51351178491192784</v>
      </c>
      <c r="I102" s="13">
        <v>255.4216613769531</v>
      </c>
      <c r="J102" s="8">
        <f t="shared" si="5"/>
        <v>0.35617320471993785</v>
      </c>
      <c r="K102" s="13">
        <v>302.712890625</v>
      </c>
      <c r="L102" s="8">
        <f t="shared" si="6"/>
        <v>0.60726818851545072</v>
      </c>
      <c r="M102" s="3">
        <v>229.78788757324219</v>
      </c>
      <c r="N102" s="8">
        <f t="shared" si="7"/>
        <v>0.18037455329333299</v>
      </c>
    </row>
    <row r="103" spans="1:14" x14ac:dyDescent="0.25">
      <c r="A103" s="19" t="s">
        <v>21</v>
      </c>
      <c r="B103" s="2">
        <v>39994</v>
      </c>
      <c r="C103" s="3">
        <v>169.33</v>
      </c>
      <c r="D103" s="3">
        <v>175.77546691894531</v>
      </c>
      <c r="E103" s="3">
        <v>145.77546691894531</v>
      </c>
      <c r="F103" s="3">
        <v>205.77546691894531</v>
      </c>
      <c r="G103" t="s">
        <v>3</v>
      </c>
      <c r="H103" s="8">
        <f t="shared" si="4"/>
        <v>3.8064530319171438E-2</v>
      </c>
      <c r="I103" s="13">
        <v>155.75233459472659</v>
      </c>
      <c r="J103" s="8">
        <f t="shared" si="5"/>
        <v>8.0184641854800801E-2</v>
      </c>
      <c r="K103" s="13">
        <v>188.08210754394531</v>
      </c>
      <c r="L103" s="8">
        <f t="shared" si="6"/>
        <v>0.11074297256212898</v>
      </c>
      <c r="M103" s="3">
        <v>137.6676330566406</v>
      </c>
      <c r="N103" s="8">
        <f t="shared" si="7"/>
        <v>0.22999136572888246</v>
      </c>
    </row>
    <row r="104" spans="1:14" x14ac:dyDescent="0.25">
      <c r="A104" s="19" t="s">
        <v>21</v>
      </c>
      <c r="B104" s="2">
        <v>40025</v>
      </c>
      <c r="C104" s="3">
        <v>93.2</v>
      </c>
      <c r="D104" s="3">
        <v>145.02095031738281</v>
      </c>
      <c r="E104" s="3">
        <v>115.02095031738281</v>
      </c>
      <c r="F104" s="3">
        <v>175.02095031738281</v>
      </c>
      <c r="G104" t="s">
        <v>3</v>
      </c>
      <c r="H104" s="8">
        <f t="shared" si="4"/>
        <v>0.5560187802294293</v>
      </c>
      <c r="I104" s="13">
        <v>111.5921325683594</v>
      </c>
      <c r="J104" s="8">
        <f t="shared" si="5"/>
        <v>0.19734047820128112</v>
      </c>
      <c r="K104" s="13">
        <v>123.8005752563477</v>
      </c>
      <c r="L104" s="8">
        <f t="shared" si="6"/>
        <v>0.32833235253591947</v>
      </c>
      <c r="M104" s="3">
        <v>122.21044921875</v>
      </c>
      <c r="N104" s="8">
        <f t="shared" si="7"/>
        <v>0.23738108651268341</v>
      </c>
    </row>
    <row r="105" spans="1:14" x14ac:dyDescent="0.25">
      <c r="A105" s="19" t="s">
        <v>21</v>
      </c>
      <c r="B105" s="2">
        <v>40056</v>
      </c>
      <c r="C105" s="3">
        <v>173.2</v>
      </c>
      <c r="D105" s="3">
        <v>156.14891052246091</v>
      </c>
      <c r="E105" s="3">
        <v>126.14891052246091</v>
      </c>
      <c r="F105" s="3">
        <v>186.14891052246091</v>
      </c>
      <c r="G105" t="s">
        <v>3</v>
      </c>
      <c r="H105" s="8">
        <f t="shared" si="4"/>
        <v>9.8447398831057048E-2</v>
      </c>
      <c r="I105" s="13">
        <v>128.9216613769531</v>
      </c>
      <c r="J105" s="8">
        <f t="shared" si="5"/>
        <v>0.25564860636863102</v>
      </c>
      <c r="K105" s="13">
        <v>125.35633850097661</v>
      </c>
      <c r="L105" s="8">
        <f t="shared" si="6"/>
        <v>0.27623361142623204</v>
      </c>
      <c r="M105" s="3">
        <v>141.35441589355469</v>
      </c>
      <c r="N105" s="8">
        <f t="shared" si="7"/>
        <v>0.22528892291858962</v>
      </c>
    </row>
    <row r="106" spans="1:14" x14ac:dyDescent="0.25">
      <c r="A106" s="19" t="s">
        <v>21</v>
      </c>
      <c r="B106" s="2">
        <v>40086</v>
      </c>
      <c r="C106" s="3">
        <v>215.38</v>
      </c>
      <c r="D106" s="3">
        <v>210.53338623046881</v>
      </c>
      <c r="E106" s="3">
        <v>180.53338623046881</v>
      </c>
      <c r="F106" s="3">
        <v>240.53338623046881</v>
      </c>
      <c r="G106" t="s">
        <v>3</v>
      </c>
      <c r="H106" s="8">
        <f t="shared" si="4"/>
        <v>2.2502617557485321E-2</v>
      </c>
      <c r="I106" s="13">
        <v>223.6868591308594</v>
      </c>
      <c r="J106" s="8">
        <f t="shared" si="5"/>
        <v>3.8568386715848307E-2</v>
      </c>
      <c r="K106" s="13">
        <v>190.80934143066409</v>
      </c>
      <c r="L106" s="8">
        <f t="shared" si="6"/>
        <v>0.11408050222553583</v>
      </c>
      <c r="M106" s="3">
        <v>211.598876953125</v>
      </c>
      <c r="N106" s="8">
        <f t="shared" si="7"/>
        <v>1.7869296384368894E-2</v>
      </c>
    </row>
    <row r="107" spans="1:14" x14ac:dyDescent="0.25">
      <c r="A107" s="19" t="s">
        <v>21</v>
      </c>
      <c r="B107" s="2">
        <v>40117</v>
      </c>
      <c r="C107" s="3">
        <v>296.06</v>
      </c>
      <c r="D107" s="3">
        <v>292.273681640625</v>
      </c>
      <c r="E107" s="3">
        <v>262.273681640625</v>
      </c>
      <c r="F107" s="3">
        <v>322.273681640625</v>
      </c>
      <c r="G107" t="s">
        <v>3</v>
      </c>
      <c r="H107" s="8">
        <f t="shared" si="4"/>
        <v>1.2789023709298799E-2</v>
      </c>
      <c r="I107" s="13">
        <v>294.66976928710938</v>
      </c>
      <c r="J107" s="8">
        <f t="shared" si="5"/>
        <v>4.6957735354003485E-3</v>
      </c>
      <c r="K107" s="13">
        <v>283.9801025390625</v>
      </c>
      <c r="L107" s="8">
        <f t="shared" si="6"/>
        <v>4.0802193680123972E-2</v>
      </c>
      <c r="M107" s="3">
        <v>286.76272583007813</v>
      </c>
      <c r="N107" s="8">
        <f t="shared" si="7"/>
        <v>3.2421487635847755E-2</v>
      </c>
    </row>
    <row r="108" spans="1:14" x14ac:dyDescent="0.25">
      <c r="A108" s="19" t="s">
        <v>21</v>
      </c>
      <c r="B108" s="2">
        <v>40147</v>
      </c>
      <c r="C108" s="3">
        <v>297.88</v>
      </c>
      <c r="D108" s="3">
        <v>310.70864868164063</v>
      </c>
      <c r="E108" s="3">
        <v>280.70864868164063</v>
      </c>
      <c r="F108" s="3">
        <v>340.70864868164063</v>
      </c>
      <c r="G108" t="s">
        <v>3</v>
      </c>
      <c r="H108" s="8">
        <f t="shared" si="4"/>
        <v>4.3066498864108467E-2</v>
      </c>
      <c r="I108" s="13">
        <v>291.6639404296875</v>
      </c>
      <c r="J108" s="8">
        <f t="shared" si="5"/>
        <v>2.0867663388990518E-2</v>
      </c>
      <c r="K108" s="13">
        <v>298.95755004882813</v>
      </c>
      <c r="L108" s="8">
        <f t="shared" si="6"/>
        <v>3.6173964308719268E-3</v>
      </c>
      <c r="M108" s="3">
        <v>293.16015625</v>
      </c>
      <c r="N108" s="8">
        <f t="shared" si="7"/>
        <v>1.6099881410811586E-2</v>
      </c>
    </row>
    <row r="109" spans="1:14" x14ac:dyDescent="0.25">
      <c r="A109" s="19" t="s">
        <v>21</v>
      </c>
      <c r="B109" s="2">
        <v>40178</v>
      </c>
      <c r="C109" s="3">
        <v>334.16</v>
      </c>
      <c r="D109" s="3">
        <v>341.51580810546881</v>
      </c>
      <c r="E109" s="3">
        <v>311.51580810546881</v>
      </c>
      <c r="F109" s="3">
        <v>371.51580810546881</v>
      </c>
      <c r="G109" t="s">
        <v>3</v>
      </c>
      <c r="H109" s="8">
        <f t="shared" si="4"/>
        <v>2.2012832491826614E-2</v>
      </c>
      <c r="I109" s="13">
        <v>269.56057739257813</v>
      </c>
      <c r="J109" s="8">
        <f t="shared" si="5"/>
        <v>0.1933188371062422</v>
      </c>
      <c r="K109" s="13">
        <v>298.26739501953119</v>
      </c>
      <c r="L109" s="8">
        <f t="shared" si="6"/>
        <v>0.10741143458363907</v>
      </c>
      <c r="M109" s="3">
        <v>306.80914306640619</v>
      </c>
      <c r="N109" s="8">
        <f t="shared" si="7"/>
        <v>8.9146159922861151E-2</v>
      </c>
    </row>
    <row r="110" spans="1:14" x14ac:dyDescent="0.25">
      <c r="A110" s="19" t="s">
        <v>21</v>
      </c>
      <c r="B110" s="2">
        <v>40209</v>
      </c>
      <c r="C110" s="3">
        <v>222.89</v>
      </c>
      <c r="D110" s="3">
        <v>321.24472045898438</v>
      </c>
      <c r="E110" s="3">
        <v>291.24472045898438</v>
      </c>
      <c r="F110" s="3">
        <v>351.24472045898438</v>
      </c>
      <c r="G110" t="s">
        <v>3</v>
      </c>
      <c r="H110" s="8">
        <f t="shared" si="4"/>
        <v>0.441270225039187</v>
      </c>
      <c r="I110" s="13">
        <v>233.56550598144531</v>
      </c>
      <c r="J110" s="8">
        <f t="shared" si="5"/>
        <v>4.7895849887591754E-2</v>
      </c>
      <c r="K110" s="13">
        <v>286.40347290039063</v>
      </c>
      <c r="L110" s="8">
        <f t="shared" si="6"/>
        <v>0.28495434025927874</v>
      </c>
      <c r="M110" s="3">
        <v>271.44113159179688</v>
      </c>
      <c r="N110" s="8">
        <f t="shared" si="7"/>
        <v>0.17886431325673172</v>
      </c>
    </row>
    <row r="111" spans="1:14" x14ac:dyDescent="0.25">
      <c r="A111" s="19" t="s">
        <v>21</v>
      </c>
      <c r="B111" s="2">
        <v>40237</v>
      </c>
      <c r="C111" s="3">
        <v>258.62</v>
      </c>
      <c r="D111" s="3">
        <v>287.0286865234375</v>
      </c>
      <c r="E111" s="3">
        <v>257.0286865234375</v>
      </c>
      <c r="F111" s="3">
        <v>317.0286865234375</v>
      </c>
      <c r="G111" t="s">
        <v>3</v>
      </c>
      <c r="H111" s="8">
        <f t="shared" si="4"/>
        <v>0.10984721414986272</v>
      </c>
      <c r="I111" s="13">
        <v>305.06173706054688</v>
      </c>
      <c r="J111" s="8">
        <f t="shared" si="5"/>
        <v>0.17957519550130258</v>
      </c>
      <c r="K111" s="13">
        <v>290.3037109375</v>
      </c>
      <c r="L111" s="8">
        <f t="shared" si="6"/>
        <v>0.12251067565346839</v>
      </c>
      <c r="M111" s="3">
        <v>275.10107421875</v>
      </c>
      <c r="N111" s="8">
        <f t="shared" si="7"/>
        <v>5.9909159808096087E-2</v>
      </c>
    </row>
    <row r="112" spans="1:14" x14ac:dyDescent="0.25">
      <c r="A112" s="19" t="s">
        <v>21</v>
      </c>
      <c r="B112" s="2">
        <v>40268</v>
      </c>
      <c r="C112" s="3">
        <v>334.57</v>
      </c>
      <c r="D112" s="3">
        <v>373.54632568359381</v>
      </c>
      <c r="E112" s="3">
        <v>343.54632568359381</v>
      </c>
      <c r="F112" s="3">
        <v>403.54632568359381</v>
      </c>
      <c r="G112" t="s">
        <v>3</v>
      </c>
      <c r="H112" s="8">
        <f t="shared" si="4"/>
        <v>0.11649677401917032</v>
      </c>
      <c r="I112" s="13">
        <v>315.94601440429688</v>
      </c>
      <c r="J112" s="8">
        <f t="shared" si="5"/>
        <v>5.5665438012084525E-2</v>
      </c>
      <c r="K112" s="13">
        <v>318.79022216796881</v>
      </c>
      <c r="L112" s="8">
        <f t="shared" si="6"/>
        <v>4.7164353743704417E-2</v>
      </c>
      <c r="M112" s="3">
        <v>331.94677734375</v>
      </c>
      <c r="N112" s="8">
        <f t="shared" si="7"/>
        <v>7.9025399108890726E-3</v>
      </c>
    </row>
    <row r="113" spans="1:14" x14ac:dyDescent="0.25">
      <c r="A113" s="19" t="s">
        <v>21</v>
      </c>
      <c r="B113" s="2">
        <v>40298</v>
      </c>
      <c r="C113" s="3">
        <v>476.31</v>
      </c>
      <c r="D113" s="3">
        <v>329.50204467773438</v>
      </c>
      <c r="E113" s="3">
        <v>299.50204467773438</v>
      </c>
      <c r="F113" s="3">
        <v>359.50204467773438</v>
      </c>
      <c r="G113" t="s">
        <v>3</v>
      </c>
      <c r="H113" s="8">
        <f t="shared" si="4"/>
        <v>0.30821934312163429</v>
      </c>
      <c r="I113" s="13">
        <v>356.6610107421875</v>
      </c>
      <c r="J113" s="8">
        <f t="shared" si="5"/>
        <v>0.2511998262850087</v>
      </c>
      <c r="K113" s="13">
        <v>325.58502197265619</v>
      </c>
      <c r="L113" s="8">
        <f t="shared" si="6"/>
        <v>0.31644302665773089</v>
      </c>
      <c r="M113" s="3">
        <v>337.05575561523438</v>
      </c>
      <c r="N113" s="8">
        <f t="shared" si="7"/>
        <v>0.41314898815652079</v>
      </c>
    </row>
    <row r="114" spans="1:14" x14ac:dyDescent="0.25">
      <c r="A114" s="19" t="s">
        <v>21</v>
      </c>
      <c r="B114" s="2">
        <v>40329</v>
      </c>
      <c r="C114" s="3">
        <v>219.19</v>
      </c>
      <c r="D114" s="3">
        <v>272.4991455078125</v>
      </c>
      <c r="E114" s="3">
        <v>242.4991455078125</v>
      </c>
      <c r="F114" s="3">
        <v>302.4991455078125</v>
      </c>
      <c r="G114" t="s">
        <v>3</v>
      </c>
      <c r="H114" s="8">
        <f t="shared" si="4"/>
        <v>0.24320975184913773</v>
      </c>
      <c r="I114" s="13">
        <v>266.90533447265619</v>
      </c>
      <c r="J114" s="8">
        <f t="shared" si="5"/>
        <v>0.21768937667163737</v>
      </c>
      <c r="K114" s="13">
        <v>279.16146850585938</v>
      </c>
      <c r="L114" s="8">
        <f t="shared" si="6"/>
        <v>0.27360494778894739</v>
      </c>
      <c r="M114" s="3">
        <v>236.0075378417969</v>
      </c>
      <c r="N114" s="8">
        <f t="shared" si="7"/>
        <v>7.1258477570619871E-2</v>
      </c>
    </row>
    <row r="115" spans="1:14" x14ac:dyDescent="0.25">
      <c r="A115" s="19" t="s">
        <v>21</v>
      </c>
      <c r="B115" s="2">
        <v>40359</v>
      </c>
      <c r="C115" s="3">
        <v>152.72999999999999</v>
      </c>
      <c r="D115" s="3">
        <v>169.81886291503909</v>
      </c>
      <c r="E115" s="3">
        <v>139.81886291503909</v>
      </c>
      <c r="F115" s="3">
        <v>199.81886291503909</v>
      </c>
      <c r="G115" t="s">
        <v>3</v>
      </c>
      <c r="H115" s="8">
        <f t="shared" si="4"/>
        <v>0.11188936630026257</v>
      </c>
      <c r="I115" s="13">
        <v>163.41987609863281</v>
      </c>
      <c r="J115" s="8">
        <f t="shared" si="5"/>
        <v>6.999198650319402E-2</v>
      </c>
      <c r="K115" s="13">
        <v>179.22163391113281</v>
      </c>
      <c r="L115" s="8">
        <f t="shared" si="6"/>
        <v>0.17345402940570173</v>
      </c>
      <c r="M115" s="3">
        <v>135.20408630371091</v>
      </c>
      <c r="N115" s="8">
        <f t="shared" si="7"/>
        <v>0.12962562135082489</v>
      </c>
    </row>
    <row r="116" spans="1:14" x14ac:dyDescent="0.25">
      <c r="A116" s="19" t="s">
        <v>21</v>
      </c>
      <c r="B116" s="2">
        <v>40390</v>
      </c>
      <c r="C116" s="3">
        <v>229.52</v>
      </c>
      <c r="D116" s="3">
        <v>140.49415588378909</v>
      </c>
      <c r="E116" s="3">
        <v>110.49415588378909</v>
      </c>
      <c r="F116" s="3">
        <v>170.49415588378909</v>
      </c>
      <c r="G116" t="s">
        <v>3</v>
      </c>
      <c r="H116" s="8">
        <f t="shared" si="4"/>
        <v>0.3878783727614627</v>
      </c>
      <c r="I116" s="13">
        <v>129.92460632324219</v>
      </c>
      <c r="J116" s="8">
        <f t="shared" si="5"/>
        <v>0.43392904181229441</v>
      </c>
      <c r="K116" s="13">
        <v>126.69419097900391</v>
      </c>
      <c r="L116" s="8">
        <f t="shared" si="6"/>
        <v>0.44800369911552851</v>
      </c>
      <c r="M116" s="3">
        <v>161.17741394042969</v>
      </c>
      <c r="N116" s="8">
        <f t="shared" si="7"/>
        <v>0.42402086240711978</v>
      </c>
    </row>
    <row r="117" spans="1:14" x14ac:dyDescent="0.25">
      <c r="A117" s="19" t="s">
        <v>21</v>
      </c>
      <c r="B117" s="2">
        <v>40421</v>
      </c>
      <c r="C117" s="3">
        <v>130.99</v>
      </c>
      <c r="D117" s="3">
        <v>140.22319030761719</v>
      </c>
      <c r="E117" s="3">
        <v>110.22319030761719</v>
      </c>
      <c r="F117" s="3">
        <v>170.22319030761719</v>
      </c>
      <c r="G117" t="s">
        <v>3</v>
      </c>
      <c r="H117" s="8">
        <f t="shared" si="4"/>
        <v>7.0487749504673472E-2</v>
      </c>
      <c r="I117" s="13">
        <v>152.58052062988281</v>
      </c>
      <c r="J117" s="8">
        <f t="shared" si="5"/>
        <v>0.16482571669503629</v>
      </c>
      <c r="K117" s="13">
        <v>133.85462951660159</v>
      </c>
      <c r="L117" s="8">
        <f t="shared" si="6"/>
        <v>2.1869070284766635E-2</v>
      </c>
      <c r="M117" s="3">
        <v>143.15095520019531</v>
      </c>
      <c r="N117" s="8">
        <f t="shared" si="7"/>
        <v>8.4951966846384772E-2</v>
      </c>
    </row>
    <row r="118" spans="1:14" x14ac:dyDescent="0.25">
      <c r="A118" s="19" t="s">
        <v>21</v>
      </c>
      <c r="B118" s="2">
        <v>40451</v>
      </c>
      <c r="C118" s="3">
        <v>250.71</v>
      </c>
      <c r="D118" s="3">
        <v>194.09165954589841</v>
      </c>
      <c r="E118" s="3">
        <v>164.09165954589841</v>
      </c>
      <c r="F118" s="3">
        <v>224.09165954589841</v>
      </c>
      <c r="G118" t="s">
        <v>3</v>
      </c>
      <c r="H118" s="8">
        <f t="shared" ref="H118:H181" si="8">IFERROR(ABS((C118-D118)/C118),0)</f>
        <v>0.22583199893941844</v>
      </c>
      <c r="I118" s="13">
        <v>220.13810729980469</v>
      </c>
      <c r="J118" s="8">
        <f t="shared" si="5"/>
        <v>0.12194125762911459</v>
      </c>
      <c r="K118" s="13">
        <v>199.34883117675781</v>
      </c>
      <c r="L118" s="8">
        <f t="shared" si="6"/>
        <v>0.20486286475705873</v>
      </c>
      <c r="M118" s="3">
        <v>203.9338684082031</v>
      </c>
      <c r="N118" s="8">
        <f t="shared" si="7"/>
        <v>0.22936911831715823</v>
      </c>
    </row>
    <row r="119" spans="1:14" x14ac:dyDescent="0.25">
      <c r="A119" s="19" t="s">
        <v>21</v>
      </c>
      <c r="B119" s="2">
        <v>40482</v>
      </c>
      <c r="C119" s="3">
        <v>250.09</v>
      </c>
      <c r="D119" s="3">
        <v>291.15652465820313</v>
      </c>
      <c r="E119" s="3">
        <v>261.15652465820313</v>
      </c>
      <c r="F119" s="3">
        <v>321.15652465820313</v>
      </c>
      <c r="G119" t="s">
        <v>3</v>
      </c>
      <c r="H119" s="8">
        <f t="shared" si="8"/>
        <v>0.16420698411852983</v>
      </c>
      <c r="I119" s="13">
        <v>272.8533935546875</v>
      </c>
      <c r="J119" s="8">
        <f t="shared" si="5"/>
        <v>9.1020806728327783E-2</v>
      </c>
      <c r="K119" s="13">
        <v>291.71197509765619</v>
      </c>
      <c r="L119" s="8">
        <f t="shared" si="6"/>
        <v>0.16642798631555117</v>
      </c>
      <c r="M119" s="3">
        <v>264.65115356445313</v>
      </c>
      <c r="N119" s="8">
        <f t="shared" si="7"/>
        <v>5.5020177952509471E-2</v>
      </c>
    </row>
    <row r="120" spans="1:14" x14ac:dyDescent="0.25">
      <c r="A120" s="19" t="s">
        <v>21</v>
      </c>
      <c r="B120" s="2">
        <v>40512</v>
      </c>
      <c r="C120" s="3">
        <v>331.79</v>
      </c>
      <c r="D120" s="3">
        <v>302.66506958007813</v>
      </c>
      <c r="E120" s="3">
        <v>272.66506958007813</v>
      </c>
      <c r="F120" s="3">
        <v>332.66506958007813</v>
      </c>
      <c r="G120" t="s">
        <v>3</v>
      </c>
      <c r="H120" s="8">
        <f t="shared" si="8"/>
        <v>8.7781218300496983E-2</v>
      </c>
      <c r="I120" s="13">
        <v>324.39990234375</v>
      </c>
      <c r="J120" s="8">
        <f t="shared" si="5"/>
        <v>2.2273418898248954E-2</v>
      </c>
      <c r="K120" s="13">
        <v>313.61642456054688</v>
      </c>
      <c r="L120" s="8">
        <f t="shared" si="6"/>
        <v>5.4774331473079793E-2</v>
      </c>
      <c r="M120" s="3">
        <v>292.00201416015619</v>
      </c>
      <c r="N120" s="8">
        <f t="shared" si="7"/>
        <v>0.13625928558842426</v>
      </c>
    </row>
    <row r="121" spans="1:14" x14ac:dyDescent="0.25">
      <c r="A121" s="19" t="s">
        <v>21</v>
      </c>
      <c r="B121" s="2">
        <v>40543</v>
      </c>
      <c r="C121" s="3">
        <v>374.86</v>
      </c>
      <c r="D121" s="3">
        <v>323.61834716796881</v>
      </c>
      <c r="E121" s="3">
        <v>293.61834716796881</v>
      </c>
      <c r="F121" s="3">
        <v>353.61834716796881</v>
      </c>
      <c r="G121" t="s">
        <v>3</v>
      </c>
      <c r="H121" s="8">
        <f t="shared" si="8"/>
        <v>0.13669544051654273</v>
      </c>
      <c r="I121" s="13">
        <v>362.98440551757813</v>
      </c>
      <c r="J121" s="8">
        <f t="shared" si="5"/>
        <v>3.1680079182686574E-2</v>
      </c>
      <c r="K121" s="13">
        <v>316.31155395507813</v>
      </c>
      <c r="L121" s="8">
        <f t="shared" si="6"/>
        <v>0.15618749945292079</v>
      </c>
      <c r="M121" s="3">
        <v>336.66726684570313</v>
      </c>
      <c r="N121" s="8">
        <f t="shared" si="7"/>
        <v>0.113443559607477</v>
      </c>
    </row>
    <row r="122" spans="1:14" x14ac:dyDescent="0.25">
      <c r="A122" s="19" t="s">
        <v>21</v>
      </c>
      <c r="B122" s="2">
        <v>40574</v>
      </c>
      <c r="C122" s="3">
        <v>266.56</v>
      </c>
      <c r="D122" s="3">
        <v>310.42306518554688</v>
      </c>
      <c r="E122" s="3">
        <v>280.42306518554688</v>
      </c>
      <c r="F122" s="3">
        <v>340.42306518554688</v>
      </c>
      <c r="G122" t="s">
        <v>3</v>
      </c>
      <c r="H122" s="8">
        <f t="shared" si="8"/>
        <v>0.16455231537194956</v>
      </c>
      <c r="I122" s="13">
        <v>366.70880126953119</v>
      </c>
      <c r="J122" s="8">
        <f t="shared" si="5"/>
        <v>0.37570828807597234</v>
      </c>
      <c r="K122" s="13">
        <v>310.92950439453119</v>
      </c>
      <c r="L122" s="8">
        <f t="shared" si="6"/>
        <v>0.16645222236843935</v>
      </c>
      <c r="M122" s="3">
        <v>310.12615966796881</v>
      </c>
      <c r="N122" s="8">
        <f t="shared" si="7"/>
        <v>0.140478828727677</v>
      </c>
    </row>
    <row r="123" spans="1:14" x14ac:dyDescent="0.25">
      <c r="A123" s="19" t="s">
        <v>21</v>
      </c>
      <c r="B123" s="2">
        <v>40602</v>
      </c>
      <c r="C123" s="3">
        <v>230.05</v>
      </c>
      <c r="D123" s="3">
        <v>272.06680297851563</v>
      </c>
      <c r="E123" s="3">
        <v>242.06680297851563</v>
      </c>
      <c r="F123" s="3">
        <v>302.06680297851563</v>
      </c>
      <c r="G123" t="s">
        <v>3</v>
      </c>
      <c r="H123" s="8">
        <f t="shared" si="8"/>
        <v>0.18264204728761405</v>
      </c>
      <c r="I123" s="13">
        <v>324.38702392578119</v>
      </c>
      <c r="J123" s="8">
        <f t="shared" si="5"/>
        <v>0.41007182754088756</v>
      </c>
      <c r="K123" s="13">
        <v>307.72262573242188</v>
      </c>
      <c r="L123" s="8">
        <f t="shared" si="6"/>
        <v>0.33763366977796938</v>
      </c>
      <c r="M123" s="3">
        <v>278.60403442382813</v>
      </c>
      <c r="N123" s="8">
        <f t="shared" si="7"/>
        <v>0.17427613539136688</v>
      </c>
    </row>
    <row r="124" spans="1:14" x14ac:dyDescent="0.25">
      <c r="A124" s="19" t="s">
        <v>21</v>
      </c>
      <c r="B124" s="2">
        <v>40633</v>
      </c>
      <c r="C124" s="3">
        <v>223.74</v>
      </c>
      <c r="D124" s="3">
        <v>337.38394165039063</v>
      </c>
      <c r="E124" s="3">
        <v>307.38394165039063</v>
      </c>
      <c r="F124" s="3">
        <v>367.38394165039063</v>
      </c>
      <c r="G124" t="s">
        <v>3</v>
      </c>
      <c r="H124" s="8">
        <f t="shared" si="8"/>
        <v>0.50792858518991069</v>
      </c>
      <c r="I124" s="13">
        <v>287.87506103515619</v>
      </c>
      <c r="J124" s="8">
        <f t="shared" si="5"/>
        <v>0.28664995546239463</v>
      </c>
      <c r="K124" s="13">
        <v>324.71023559570313</v>
      </c>
      <c r="L124" s="8">
        <f t="shared" si="6"/>
        <v>0.45128379188210921</v>
      </c>
      <c r="M124" s="3">
        <v>301.38058471679688</v>
      </c>
      <c r="N124" s="8">
        <f t="shared" si="7"/>
        <v>0.25761641145448916</v>
      </c>
    </row>
    <row r="125" spans="1:14" x14ac:dyDescent="0.25">
      <c r="A125" s="19" t="s">
        <v>21</v>
      </c>
      <c r="B125" s="2">
        <v>40663</v>
      </c>
      <c r="C125" s="3">
        <v>358.41</v>
      </c>
      <c r="D125" s="3">
        <v>312.67013549804688</v>
      </c>
      <c r="E125" s="3">
        <v>282.67013549804688</v>
      </c>
      <c r="F125" s="3">
        <v>342.67013549804688</v>
      </c>
      <c r="G125" t="s">
        <v>3</v>
      </c>
      <c r="H125" s="8">
        <f t="shared" si="8"/>
        <v>0.12761882900017618</v>
      </c>
      <c r="I125" s="13">
        <v>300.66464233398438</v>
      </c>
      <c r="J125" s="8">
        <f t="shared" si="5"/>
        <v>0.16111536415282957</v>
      </c>
      <c r="K125" s="13">
        <v>329.22683715820313</v>
      </c>
      <c r="L125" s="8">
        <f t="shared" si="6"/>
        <v>8.1423963733704127E-2</v>
      </c>
      <c r="M125" s="3">
        <v>319.39151000976563</v>
      </c>
      <c r="N125" s="8">
        <f t="shared" si="7"/>
        <v>0.1221650819367158</v>
      </c>
    </row>
    <row r="126" spans="1:14" x14ac:dyDescent="0.25">
      <c r="A126" s="19" t="s">
        <v>21</v>
      </c>
      <c r="B126" s="2">
        <v>40694</v>
      </c>
      <c r="C126" s="3">
        <v>176.67</v>
      </c>
      <c r="D126" s="3">
        <v>254.32548522949219</v>
      </c>
      <c r="E126" s="3">
        <v>224.32548522949219</v>
      </c>
      <c r="F126" s="3">
        <v>284.32548522949219</v>
      </c>
      <c r="G126" t="s">
        <v>3</v>
      </c>
      <c r="H126" s="8">
        <f t="shared" si="8"/>
        <v>0.43955105693944757</v>
      </c>
      <c r="I126" s="13">
        <v>232.60798645019531</v>
      </c>
      <c r="J126" s="8">
        <f t="shared" si="5"/>
        <v>0.3166241379418992</v>
      </c>
      <c r="K126" s="13">
        <v>272.86965942382813</v>
      </c>
      <c r="L126" s="8">
        <f t="shared" si="6"/>
        <v>0.54451610020845731</v>
      </c>
      <c r="M126" s="3">
        <v>226.0384216308594</v>
      </c>
      <c r="N126" s="8">
        <f t="shared" si="7"/>
        <v>0.21840721269715105</v>
      </c>
    </row>
    <row r="127" spans="1:14" x14ac:dyDescent="0.25">
      <c r="A127" s="19" t="s">
        <v>21</v>
      </c>
      <c r="B127" s="2">
        <v>40724</v>
      </c>
      <c r="C127" s="3">
        <v>176.72</v>
      </c>
      <c r="D127" s="3">
        <v>157.4624328613281</v>
      </c>
      <c r="E127" s="3">
        <v>127.4624328613281</v>
      </c>
      <c r="F127" s="3">
        <v>187.4624328613281</v>
      </c>
      <c r="G127" t="s">
        <v>3</v>
      </c>
      <c r="H127" s="8">
        <f t="shared" si="8"/>
        <v>0.10897219974350329</v>
      </c>
      <c r="I127" s="13">
        <v>138.1440734863281</v>
      </c>
      <c r="J127" s="8">
        <f t="shared" si="5"/>
        <v>0.2182884026350832</v>
      </c>
      <c r="K127" s="13">
        <v>160.7381591796875</v>
      </c>
      <c r="L127" s="8">
        <f t="shared" si="6"/>
        <v>9.0435948507879685E-2</v>
      </c>
      <c r="M127" s="3">
        <v>140.38078308105469</v>
      </c>
      <c r="N127" s="8">
        <f t="shared" si="7"/>
        <v>0.25886176242487086</v>
      </c>
    </row>
    <row r="128" spans="1:14" x14ac:dyDescent="0.25">
      <c r="A128" s="19" t="s">
        <v>21</v>
      </c>
      <c r="B128" s="2">
        <v>40755</v>
      </c>
      <c r="C128" s="3">
        <v>166.48</v>
      </c>
      <c r="D128" s="3">
        <v>128.76397705078119</v>
      </c>
      <c r="E128" s="3">
        <v>98.763977050781193</v>
      </c>
      <c r="F128" s="3">
        <v>158.76397705078119</v>
      </c>
      <c r="G128" t="s">
        <v>3</v>
      </c>
      <c r="H128" s="8">
        <f t="shared" si="8"/>
        <v>0.22654987355369294</v>
      </c>
      <c r="I128" s="13">
        <v>122.36537933349609</v>
      </c>
      <c r="J128" s="8">
        <f t="shared" si="5"/>
        <v>0.26498450664646744</v>
      </c>
      <c r="K128" s="13">
        <v>115.7786865234375</v>
      </c>
      <c r="L128" s="8">
        <f t="shared" si="6"/>
        <v>0.3045489757121726</v>
      </c>
      <c r="M128" s="3">
        <v>168.64485168457031</v>
      </c>
      <c r="N128" s="8">
        <f t="shared" si="7"/>
        <v>1.2836749316364632E-2</v>
      </c>
    </row>
    <row r="129" spans="1:14" x14ac:dyDescent="0.25">
      <c r="A129" s="19" t="s">
        <v>21</v>
      </c>
      <c r="B129" s="2">
        <v>40786</v>
      </c>
      <c r="C129" s="3">
        <v>157.11000000000001</v>
      </c>
      <c r="D129" s="3">
        <v>116.71596527099609</v>
      </c>
      <c r="E129" s="3">
        <v>86.715965270996094</v>
      </c>
      <c r="F129" s="3">
        <v>146.71596527099609</v>
      </c>
      <c r="G129" t="s">
        <v>3</v>
      </c>
      <c r="H129" s="8">
        <f t="shared" si="8"/>
        <v>0.25710670695056914</v>
      </c>
      <c r="I129" s="13">
        <v>127.94361877441411</v>
      </c>
      <c r="J129" s="8">
        <f t="shared" si="5"/>
        <v>0.18564306043909304</v>
      </c>
      <c r="K129" s="13">
        <v>119.05116271972661</v>
      </c>
      <c r="L129" s="8">
        <f t="shared" si="6"/>
        <v>0.24224325173619379</v>
      </c>
      <c r="M129" s="3">
        <v>148.49601745605469</v>
      </c>
      <c r="N129" s="8">
        <f t="shared" si="7"/>
        <v>5.8008172148418143E-2</v>
      </c>
    </row>
    <row r="130" spans="1:14" x14ac:dyDescent="0.25">
      <c r="A130" s="19" t="s">
        <v>21</v>
      </c>
      <c r="B130" s="2">
        <v>40816</v>
      </c>
      <c r="C130" s="3">
        <v>203.05</v>
      </c>
      <c r="D130" s="3">
        <v>169.58976745605469</v>
      </c>
      <c r="E130" s="3">
        <v>139.58976745605469</v>
      </c>
      <c r="F130" s="3">
        <v>199.58976745605469</v>
      </c>
      <c r="G130" t="s">
        <v>3</v>
      </c>
      <c r="H130" s="8">
        <f t="shared" si="8"/>
        <v>0.16478814353088067</v>
      </c>
      <c r="I130" s="13">
        <v>213.87080383300781</v>
      </c>
      <c r="J130" s="8">
        <f t="shared" si="5"/>
        <v>5.3291326436876632E-2</v>
      </c>
      <c r="K130" s="13">
        <v>188.8515319824219</v>
      </c>
      <c r="L130" s="8">
        <f t="shared" si="6"/>
        <v>6.9925969059729656E-2</v>
      </c>
      <c r="M130" s="3">
        <v>216.74070739746091</v>
      </c>
      <c r="N130" s="8">
        <f t="shared" si="7"/>
        <v>6.3166294702336492E-2</v>
      </c>
    </row>
    <row r="131" spans="1:14" x14ac:dyDescent="0.25">
      <c r="A131" s="19" t="s">
        <v>21</v>
      </c>
      <c r="B131" s="2">
        <v>40847</v>
      </c>
      <c r="C131" s="3">
        <v>241.27</v>
      </c>
      <c r="D131" s="3">
        <v>281.38470458984381</v>
      </c>
      <c r="E131" s="3">
        <v>251.38470458984381</v>
      </c>
      <c r="F131" s="3">
        <v>311.38470458984381</v>
      </c>
      <c r="G131" t="s">
        <v>3</v>
      </c>
      <c r="H131" s="8">
        <f t="shared" si="8"/>
        <v>0.16626478463896793</v>
      </c>
      <c r="I131" s="13">
        <v>272.1661376953125</v>
      </c>
      <c r="J131" s="8">
        <f t="shared" ref="J131:J194" si="9">IFERROR(ABS((C131-I131)/C131),0)</f>
        <v>0.12805627593696892</v>
      </c>
      <c r="K131" s="13">
        <v>280.64227294921881</v>
      </c>
      <c r="L131" s="8">
        <f t="shared" ref="L131:L194" si="10">IFERROR(ABS((C131-K131)/C131),0)</f>
        <v>0.16318760288978654</v>
      </c>
      <c r="M131" s="3">
        <v>262.47543334960938</v>
      </c>
      <c r="N131" s="8">
        <f t="shared" ref="N131:N194" si="11">IFERROR(ABS((C131-M131)/M131),0)</f>
        <v>8.0790164165056799E-2</v>
      </c>
    </row>
    <row r="132" spans="1:14" x14ac:dyDescent="0.25">
      <c r="A132" s="19" t="s">
        <v>21</v>
      </c>
      <c r="B132" s="2">
        <v>40877</v>
      </c>
      <c r="C132" s="3">
        <v>236.11</v>
      </c>
      <c r="D132" s="3">
        <v>286.22647094726563</v>
      </c>
      <c r="E132" s="3">
        <v>256.22647094726563</v>
      </c>
      <c r="F132" s="3">
        <v>316.22647094726563</v>
      </c>
      <c r="G132" t="s">
        <v>3</v>
      </c>
      <c r="H132" s="8">
        <f t="shared" si="8"/>
        <v>0.21225899346603536</v>
      </c>
      <c r="I132" s="13">
        <v>272.1915283203125</v>
      </c>
      <c r="J132" s="8">
        <f t="shared" si="9"/>
        <v>0.15281660378769424</v>
      </c>
      <c r="K132" s="13">
        <v>300.58270263671881</v>
      </c>
      <c r="L132" s="8">
        <f t="shared" si="10"/>
        <v>0.27306214322442418</v>
      </c>
      <c r="M132" s="3">
        <v>273.38943481445313</v>
      </c>
      <c r="N132" s="8">
        <f t="shared" si="11"/>
        <v>0.13636018831435209</v>
      </c>
    </row>
    <row r="133" spans="1:14" x14ac:dyDescent="0.25">
      <c r="A133" s="19" t="s">
        <v>21</v>
      </c>
      <c r="B133" s="2">
        <v>40908</v>
      </c>
      <c r="C133" s="3">
        <v>276.43</v>
      </c>
      <c r="D133" s="3">
        <v>298.15719604492188</v>
      </c>
      <c r="E133" s="3">
        <v>268.15719604492188</v>
      </c>
      <c r="F133" s="3">
        <v>328.15719604492188</v>
      </c>
      <c r="G133" t="s">
        <v>3</v>
      </c>
      <c r="H133" s="8">
        <f t="shared" si="8"/>
        <v>7.8599269416929671E-2</v>
      </c>
      <c r="I133" s="13">
        <v>275.63409423828119</v>
      </c>
      <c r="J133" s="8">
        <f t="shared" si="9"/>
        <v>2.8792307698832023E-3</v>
      </c>
      <c r="K133" s="13">
        <v>296.4986572265625</v>
      </c>
      <c r="L133" s="8">
        <f t="shared" si="10"/>
        <v>7.2599418393671067E-2</v>
      </c>
      <c r="M133" s="3">
        <v>308.03890991210938</v>
      </c>
      <c r="N133" s="8">
        <f t="shared" si="11"/>
        <v>0.10261336764608121</v>
      </c>
    </row>
    <row r="134" spans="1:14" x14ac:dyDescent="0.25">
      <c r="A134" s="19" t="s">
        <v>21</v>
      </c>
      <c r="B134" s="2">
        <v>40939</v>
      </c>
      <c r="C134" s="3">
        <v>418.42</v>
      </c>
      <c r="D134" s="3">
        <v>293.16098022460938</v>
      </c>
      <c r="E134" s="3">
        <v>263.16098022460938</v>
      </c>
      <c r="F134" s="3">
        <v>323.16098022460938</v>
      </c>
      <c r="G134" t="s">
        <v>3</v>
      </c>
      <c r="H134" s="8">
        <f t="shared" si="8"/>
        <v>0.29936193244919135</v>
      </c>
      <c r="I134" s="13">
        <v>349.72579956054688</v>
      </c>
      <c r="J134" s="8">
        <f t="shared" si="9"/>
        <v>0.16417523167977902</v>
      </c>
      <c r="K134" s="13">
        <v>281.52056884765619</v>
      </c>
      <c r="L134" s="8">
        <f t="shared" si="10"/>
        <v>0.32718185352598783</v>
      </c>
      <c r="M134" s="3">
        <v>334.54681396484381</v>
      </c>
      <c r="N134" s="8">
        <f t="shared" si="11"/>
        <v>0.2507068742970307</v>
      </c>
    </row>
    <row r="135" spans="1:14" x14ac:dyDescent="0.25">
      <c r="A135" s="19" t="s">
        <v>21</v>
      </c>
      <c r="B135" s="2">
        <v>40968</v>
      </c>
      <c r="C135" s="3">
        <v>380.38</v>
      </c>
      <c r="D135" s="3">
        <v>324.1048583984375</v>
      </c>
      <c r="E135" s="3">
        <v>294.1048583984375</v>
      </c>
      <c r="F135" s="3">
        <v>354.1048583984375</v>
      </c>
      <c r="G135" t="s">
        <v>3</v>
      </c>
      <c r="H135" s="8">
        <f t="shared" si="8"/>
        <v>0.14794453336548319</v>
      </c>
      <c r="I135" s="13">
        <v>344.51516723632813</v>
      </c>
      <c r="J135" s="8">
        <f t="shared" si="9"/>
        <v>9.4286851999768315E-2</v>
      </c>
      <c r="K135" s="13">
        <v>287.52227783203119</v>
      </c>
      <c r="L135" s="8">
        <f t="shared" si="10"/>
        <v>0.24411830844936327</v>
      </c>
      <c r="M135" s="3">
        <v>318.99237060546881</v>
      </c>
      <c r="N135" s="8">
        <f t="shared" si="11"/>
        <v>0.19244231226600614</v>
      </c>
    </row>
    <row r="136" spans="1:14" x14ac:dyDescent="0.25">
      <c r="A136" s="19" t="s">
        <v>21</v>
      </c>
      <c r="B136" s="2">
        <v>40999</v>
      </c>
      <c r="C136" s="3">
        <v>286.56</v>
      </c>
      <c r="D136" s="3">
        <v>355.66751098632813</v>
      </c>
      <c r="E136" s="3">
        <v>325.66751098632813</v>
      </c>
      <c r="F136" s="3">
        <v>385.66751098632813</v>
      </c>
      <c r="G136" t="s">
        <v>3</v>
      </c>
      <c r="H136" s="8">
        <f t="shared" si="8"/>
        <v>0.24116244760723102</v>
      </c>
      <c r="I136" s="13">
        <v>292.64913940429688</v>
      </c>
      <c r="J136" s="8">
        <f t="shared" si="9"/>
        <v>2.12490906068428E-2</v>
      </c>
      <c r="K136" s="13">
        <v>322.86859130859381</v>
      </c>
      <c r="L136" s="8">
        <f t="shared" si="10"/>
        <v>0.12670502271284828</v>
      </c>
      <c r="M136" s="3">
        <v>290.9818115234375</v>
      </c>
      <c r="N136" s="8">
        <f t="shared" si="11"/>
        <v>1.5196178415025564E-2</v>
      </c>
    </row>
    <row r="137" spans="1:14" x14ac:dyDescent="0.25">
      <c r="A137" s="19" t="s">
        <v>21</v>
      </c>
      <c r="B137" s="2">
        <v>41029</v>
      </c>
      <c r="C137" s="3">
        <v>313.7</v>
      </c>
      <c r="D137" s="3">
        <v>325.74130249023438</v>
      </c>
      <c r="E137" s="3">
        <v>295.74130249023438</v>
      </c>
      <c r="F137" s="3">
        <v>355.74130249023438</v>
      </c>
      <c r="G137" t="s">
        <v>3</v>
      </c>
      <c r="H137" s="8">
        <f t="shared" si="8"/>
        <v>3.8384770450221185E-2</v>
      </c>
      <c r="I137" s="13">
        <v>354.62313842773438</v>
      </c>
      <c r="J137" s="8">
        <f t="shared" si="9"/>
        <v>0.13045310305302643</v>
      </c>
      <c r="K137" s="13">
        <v>334.9324951171875</v>
      </c>
      <c r="L137" s="8">
        <f t="shared" si="10"/>
        <v>6.7684077517333477E-2</v>
      </c>
      <c r="M137" s="3">
        <v>324.71295166015619</v>
      </c>
      <c r="N137" s="8">
        <f t="shared" si="11"/>
        <v>3.3915960554854407E-2</v>
      </c>
    </row>
    <row r="138" spans="1:14" x14ac:dyDescent="0.25">
      <c r="A138" s="19" t="s">
        <v>21</v>
      </c>
      <c r="B138" s="2">
        <v>41060</v>
      </c>
      <c r="C138" s="3">
        <v>259.45</v>
      </c>
      <c r="D138" s="3">
        <v>271.66104125976563</v>
      </c>
      <c r="E138" s="3">
        <v>241.66104125976563</v>
      </c>
      <c r="F138" s="3">
        <v>301.66104125976563</v>
      </c>
      <c r="G138" t="s">
        <v>3</v>
      </c>
      <c r="H138" s="8">
        <f t="shared" si="8"/>
        <v>4.7065104103933851E-2</v>
      </c>
      <c r="I138" s="13">
        <v>280.71875</v>
      </c>
      <c r="J138" s="8">
        <f t="shared" si="9"/>
        <v>8.1976296010792107E-2</v>
      </c>
      <c r="K138" s="13">
        <v>290.24810791015619</v>
      </c>
      <c r="L138" s="8">
        <f t="shared" si="10"/>
        <v>0.1187053687036277</v>
      </c>
      <c r="M138" s="3">
        <v>264.68734741210938</v>
      </c>
      <c r="N138" s="8">
        <f t="shared" si="11"/>
        <v>1.9786920165681402E-2</v>
      </c>
    </row>
    <row r="139" spans="1:14" x14ac:dyDescent="0.25">
      <c r="A139" s="19" t="s">
        <v>21</v>
      </c>
      <c r="B139" s="2">
        <v>41090</v>
      </c>
      <c r="C139" s="3">
        <v>115.21</v>
      </c>
      <c r="D139" s="3">
        <v>148.91148376464841</v>
      </c>
      <c r="E139" s="3">
        <v>118.91148376464841</v>
      </c>
      <c r="F139" s="3">
        <v>178.91148376464841</v>
      </c>
      <c r="G139" t="s">
        <v>3</v>
      </c>
      <c r="H139" s="8">
        <f t="shared" si="8"/>
        <v>0.29252220957077002</v>
      </c>
      <c r="I139" s="13">
        <v>170.1785583496094</v>
      </c>
      <c r="J139" s="8">
        <f t="shared" si="9"/>
        <v>0.47711620822506218</v>
      </c>
      <c r="K139" s="13">
        <v>187.46087646484381</v>
      </c>
      <c r="L139" s="8">
        <f t="shared" si="10"/>
        <v>0.62712330930339222</v>
      </c>
      <c r="M139" s="3">
        <v>140.39710998535159</v>
      </c>
      <c r="N139" s="8">
        <f t="shared" si="11"/>
        <v>0.17939906304324574</v>
      </c>
    </row>
    <row r="140" spans="1:14" x14ac:dyDescent="0.25">
      <c r="A140" s="19" t="s">
        <v>21</v>
      </c>
      <c r="B140" s="2">
        <v>41121</v>
      </c>
      <c r="C140" s="3">
        <v>100.71</v>
      </c>
      <c r="D140" s="3">
        <v>117.6005783081055</v>
      </c>
      <c r="E140" s="3">
        <v>87.600578308105497</v>
      </c>
      <c r="F140" s="3">
        <v>147.6005783081055</v>
      </c>
      <c r="G140" t="s">
        <v>3</v>
      </c>
      <c r="H140" s="8">
        <f t="shared" si="8"/>
        <v>0.16771500653465896</v>
      </c>
      <c r="I140" s="13">
        <v>121.1706848144531</v>
      </c>
      <c r="J140" s="8">
        <f t="shared" si="9"/>
        <v>0.20316438103915305</v>
      </c>
      <c r="K140" s="13">
        <v>124.688117980957</v>
      </c>
      <c r="L140" s="8">
        <f t="shared" si="10"/>
        <v>0.23809073558690311</v>
      </c>
      <c r="M140" s="3">
        <v>100.0562286376953</v>
      </c>
      <c r="N140" s="8">
        <f t="shared" si="11"/>
        <v>6.5340396215812684E-3</v>
      </c>
    </row>
    <row r="141" spans="1:14" x14ac:dyDescent="0.25">
      <c r="A141" s="19" t="s">
        <v>21</v>
      </c>
      <c r="B141" s="2">
        <v>41152</v>
      </c>
      <c r="C141" s="3">
        <v>123.81</v>
      </c>
      <c r="D141" s="3">
        <v>138.4981994628906</v>
      </c>
      <c r="E141" s="3">
        <v>108.4981994628906</v>
      </c>
      <c r="F141" s="3">
        <v>168.4981994628906</v>
      </c>
      <c r="G141" t="s">
        <v>3</v>
      </c>
      <c r="H141" s="8">
        <f t="shared" si="8"/>
        <v>0.11863500091180514</v>
      </c>
      <c r="I141" s="13">
        <v>114.82533264160161</v>
      </c>
      <c r="J141" s="8">
        <f t="shared" si="9"/>
        <v>7.2568188017110069E-2</v>
      </c>
      <c r="K141" s="13">
        <v>121.4998321533203</v>
      </c>
      <c r="L141" s="8">
        <f t="shared" si="10"/>
        <v>1.8658976227119813E-2</v>
      </c>
      <c r="M141" s="3">
        <v>129.03721618652341</v>
      </c>
      <c r="N141" s="8">
        <f t="shared" si="11"/>
        <v>4.0509368855008943E-2</v>
      </c>
    </row>
    <row r="142" spans="1:14" x14ac:dyDescent="0.25">
      <c r="A142" s="19" t="s">
        <v>21</v>
      </c>
      <c r="B142" s="2">
        <v>41182</v>
      </c>
      <c r="C142" s="3">
        <v>98.87</v>
      </c>
      <c r="D142" s="3">
        <v>190.18827819824219</v>
      </c>
      <c r="E142" s="3">
        <v>160.18827819824219</v>
      </c>
      <c r="F142" s="3">
        <v>220.18827819824219</v>
      </c>
      <c r="G142" t="s">
        <v>3</v>
      </c>
      <c r="H142" s="8">
        <f t="shared" si="8"/>
        <v>0.92361968441632625</v>
      </c>
      <c r="I142" s="13">
        <v>161.9441223144531</v>
      </c>
      <c r="J142" s="8">
        <f t="shared" si="9"/>
        <v>0.63795005880907341</v>
      </c>
      <c r="K142" s="13">
        <v>182.9299011230469</v>
      </c>
      <c r="L142" s="8">
        <f t="shared" si="10"/>
        <v>0.85020634290529884</v>
      </c>
      <c r="M142" s="3">
        <v>166.85307312011719</v>
      </c>
      <c r="N142" s="8">
        <f t="shared" si="11"/>
        <v>0.40744273898495298</v>
      </c>
    </row>
    <row r="143" spans="1:14" x14ac:dyDescent="0.25">
      <c r="A143" s="19" t="s">
        <v>21</v>
      </c>
      <c r="B143" s="2">
        <v>41213</v>
      </c>
      <c r="C143" s="3">
        <v>304.05</v>
      </c>
      <c r="D143" s="3">
        <v>256.2042236328125</v>
      </c>
      <c r="E143" s="3">
        <v>226.2042236328125</v>
      </c>
      <c r="F143" s="3">
        <v>286.2042236328125</v>
      </c>
      <c r="G143" t="s">
        <v>3</v>
      </c>
      <c r="H143" s="8">
        <f t="shared" si="8"/>
        <v>0.15736154042817796</v>
      </c>
      <c r="I143" s="13">
        <v>283.7781982421875</v>
      </c>
      <c r="J143" s="8">
        <f t="shared" si="9"/>
        <v>6.6672592526928171E-2</v>
      </c>
      <c r="K143" s="13">
        <v>276.60968017578119</v>
      </c>
      <c r="L143" s="8">
        <f t="shared" si="10"/>
        <v>9.024936630231481E-2</v>
      </c>
      <c r="M143" s="3">
        <v>295.31146240234381</v>
      </c>
      <c r="N143" s="8">
        <f t="shared" si="11"/>
        <v>2.9590919114919019E-2</v>
      </c>
    </row>
    <row r="144" spans="1:14" x14ac:dyDescent="0.25">
      <c r="A144" s="19" t="s">
        <v>21</v>
      </c>
      <c r="B144" s="2">
        <v>41243</v>
      </c>
      <c r="C144" s="3">
        <v>338.3</v>
      </c>
      <c r="D144" s="3">
        <v>282.7083740234375</v>
      </c>
      <c r="E144" s="3">
        <v>252.7083740234375</v>
      </c>
      <c r="F144" s="3">
        <v>312.7083740234375</v>
      </c>
      <c r="G144" t="s">
        <v>3</v>
      </c>
      <c r="H144" s="8">
        <f t="shared" si="8"/>
        <v>0.16432641435578632</v>
      </c>
      <c r="I144" s="13">
        <v>303.33685302734381</v>
      </c>
      <c r="J144" s="8">
        <f t="shared" si="9"/>
        <v>0.10334953287808514</v>
      </c>
      <c r="K144" s="13">
        <v>293.88348388671881</v>
      </c>
      <c r="L144" s="8">
        <f t="shared" si="10"/>
        <v>0.13129327849033759</v>
      </c>
      <c r="M144" s="3">
        <v>313.65274047851563</v>
      </c>
      <c r="N144" s="8">
        <f t="shared" si="11"/>
        <v>7.8581361935119637E-2</v>
      </c>
    </row>
    <row r="145" spans="1:14" x14ac:dyDescent="0.25">
      <c r="A145" s="19" t="s">
        <v>21</v>
      </c>
      <c r="B145" s="2">
        <v>41274</v>
      </c>
      <c r="C145" s="3">
        <v>264.08999999999997</v>
      </c>
      <c r="D145" s="3">
        <v>316.47967529296881</v>
      </c>
      <c r="E145" s="3">
        <v>286.47967529296881</v>
      </c>
      <c r="F145" s="3">
        <v>346.47967529296881</v>
      </c>
      <c r="G145" t="s">
        <v>3</v>
      </c>
      <c r="H145" s="8">
        <f t="shared" si="8"/>
        <v>0.19837811084466975</v>
      </c>
      <c r="I145" s="13">
        <v>283.20184326171881</v>
      </c>
      <c r="J145" s="8">
        <f t="shared" si="9"/>
        <v>7.236867454927802E-2</v>
      </c>
      <c r="K145" s="13">
        <v>291.52023315429688</v>
      </c>
      <c r="L145" s="8">
        <f t="shared" si="10"/>
        <v>0.10386698911089744</v>
      </c>
      <c r="M145" s="3">
        <v>266.52670288085938</v>
      </c>
      <c r="N145" s="8">
        <f t="shared" si="11"/>
        <v>9.1424343396790345E-3</v>
      </c>
    </row>
    <row r="146" spans="1:14" x14ac:dyDescent="0.25">
      <c r="A146" s="19" t="s">
        <v>21</v>
      </c>
      <c r="B146" s="2">
        <v>41305</v>
      </c>
      <c r="C146" s="3">
        <v>209.44</v>
      </c>
      <c r="D146" s="3">
        <v>287.63931274414063</v>
      </c>
      <c r="E146" s="3">
        <v>257.63931274414063</v>
      </c>
      <c r="F146" s="3">
        <v>317.63931274414063</v>
      </c>
      <c r="G146" t="s">
        <v>3</v>
      </c>
      <c r="H146" s="8">
        <f t="shared" si="8"/>
        <v>0.37337334197928107</v>
      </c>
      <c r="I146" s="13">
        <v>244.0299072265625</v>
      </c>
      <c r="J146" s="8">
        <f t="shared" si="9"/>
        <v>0.16515425528343441</v>
      </c>
      <c r="K146" s="13">
        <v>280.26718139648438</v>
      </c>
      <c r="L146" s="8">
        <f t="shared" si="10"/>
        <v>0.33817408993737769</v>
      </c>
      <c r="M146" s="3">
        <v>261.49496459960938</v>
      </c>
      <c r="N146" s="8">
        <f t="shared" si="11"/>
        <v>0.19906679533701099</v>
      </c>
    </row>
    <row r="147" spans="1:14" x14ac:dyDescent="0.25">
      <c r="A147" s="19" t="s">
        <v>21</v>
      </c>
      <c r="B147" s="2">
        <v>41333</v>
      </c>
      <c r="C147" s="3">
        <v>347.32</v>
      </c>
      <c r="D147" s="3">
        <v>268.21630859375</v>
      </c>
      <c r="E147" s="3">
        <v>238.21630859375</v>
      </c>
      <c r="F147" s="3">
        <v>298.21630859375</v>
      </c>
      <c r="G147" t="s">
        <v>3</v>
      </c>
      <c r="H147" s="8">
        <f t="shared" si="8"/>
        <v>0.22775449558404351</v>
      </c>
      <c r="I147" s="13">
        <v>282.95767211914063</v>
      </c>
      <c r="J147" s="8">
        <f t="shared" si="9"/>
        <v>0.18531132062898586</v>
      </c>
      <c r="K147" s="13">
        <v>283.67889404296881</v>
      </c>
      <c r="L147" s="8">
        <f t="shared" si="10"/>
        <v>0.18323478624044451</v>
      </c>
      <c r="M147" s="3">
        <v>301.08895874023438</v>
      </c>
      <c r="N147" s="8">
        <f t="shared" si="11"/>
        <v>0.15354611956943803</v>
      </c>
    </row>
    <row r="148" spans="1:14" x14ac:dyDescent="0.25">
      <c r="A148" s="19" t="s">
        <v>21</v>
      </c>
      <c r="B148" s="2">
        <v>41364</v>
      </c>
      <c r="C148" s="3">
        <v>336.76</v>
      </c>
      <c r="D148" s="3">
        <v>308.99349975585938</v>
      </c>
      <c r="E148" s="3">
        <v>278.99349975585938</v>
      </c>
      <c r="F148" s="3">
        <v>338.99349975585938</v>
      </c>
      <c r="G148" t="s">
        <v>3</v>
      </c>
      <c r="H148" s="8">
        <f t="shared" si="8"/>
        <v>8.2451895249259458E-2</v>
      </c>
      <c r="I148" s="13">
        <v>342.35177612304688</v>
      </c>
      <c r="J148" s="8">
        <f t="shared" si="9"/>
        <v>1.6604632744526917E-2</v>
      </c>
      <c r="K148" s="13">
        <v>314.36923217773438</v>
      </c>
      <c r="L148" s="8">
        <f t="shared" si="10"/>
        <v>6.6488798617013942E-2</v>
      </c>
      <c r="M148" s="3">
        <v>318.7325439453125</v>
      </c>
      <c r="N148" s="8">
        <f t="shared" si="11"/>
        <v>5.6559822324828576E-2</v>
      </c>
    </row>
    <row r="149" spans="1:14" x14ac:dyDescent="0.25">
      <c r="A149" s="19" t="s">
        <v>21</v>
      </c>
      <c r="B149" s="2">
        <v>41394</v>
      </c>
      <c r="C149" s="3">
        <v>300.2</v>
      </c>
      <c r="D149" s="3">
        <v>305.57275390625</v>
      </c>
      <c r="E149" s="3">
        <v>275.57275390625</v>
      </c>
      <c r="F149" s="3">
        <v>335.57275390625</v>
      </c>
      <c r="G149" t="s">
        <v>3</v>
      </c>
      <c r="H149" s="8">
        <f t="shared" si="8"/>
        <v>1.7897248188707568E-2</v>
      </c>
      <c r="I149" s="13">
        <v>314.47027587890619</v>
      </c>
      <c r="J149" s="8">
        <f t="shared" si="9"/>
        <v>4.7535895665910079E-2</v>
      </c>
      <c r="K149" s="13">
        <v>324.70269775390619</v>
      </c>
      <c r="L149" s="8">
        <f t="shared" si="10"/>
        <v>8.1621245016343116E-2</v>
      </c>
      <c r="M149" s="3">
        <v>307.38519287109381</v>
      </c>
      <c r="N149" s="8">
        <f t="shared" si="11"/>
        <v>2.3375208167906211E-2</v>
      </c>
    </row>
    <row r="150" spans="1:14" x14ac:dyDescent="0.25">
      <c r="A150" s="19" t="s">
        <v>21</v>
      </c>
      <c r="B150" s="2">
        <v>41425</v>
      </c>
      <c r="C150" s="3">
        <v>368.24</v>
      </c>
      <c r="D150" s="3">
        <v>251.0752868652344</v>
      </c>
      <c r="E150" s="3">
        <v>221.0752868652344</v>
      </c>
      <c r="F150" s="3">
        <v>281.07528686523438</v>
      </c>
      <c r="G150" t="s">
        <v>3</v>
      </c>
      <c r="H150" s="8">
        <f t="shared" si="8"/>
        <v>0.31817486730058009</v>
      </c>
      <c r="I150" s="13">
        <v>243.43077087402341</v>
      </c>
      <c r="J150" s="8">
        <f t="shared" si="9"/>
        <v>0.3389344697099082</v>
      </c>
      <c r="K150" s="13">
        <v>263.29666137695313</v>
      </c>
      <c r="L150" s="8">
        <f t="shared" si="10"/>
        <v>0.28498625522226506</v>
      </c>
      <c r="M150" s="3">
        <v>300.6260986328125</v>
      </c>
      <c r="N150" s="8">
        <f t="shared" si="11"/>
        <v>0.22491028448521946</v>
      </c>
    </row>
    <row r="151" spans="1:14" x14ac:dyDescent="0.25">
      <c r="A151" s="19" t="s">
        <v>21</v>
      </c>
      <c r="B151" s="2">
        <v>41455</v>
      </c>
      <c r="C151" s="3">
        <v>99.6</v>
      </c>
      <c r="D151" s="3">
        <v>136.1225891113281</v>
      </c>
      <c r="E151" s="3">
        <v>106.1225891113281</v>
      </c>
      <c r="F151" s="3">
        <v>166.1225891113281</v>
      </c>
      <c r="G151" t="s">
        <v>3</v>
      </c>
      <c r="H151" s="8">
        <f t="shared" si="8"/>
        <v>0.36669266176032234</v>
      </c>
      <c r="I151" s="13">
        <v>150.64576721191409</v>
      </c>
      <c r="J151" s="8">
        <f t="shared" si="9"/>
        <v>0.51250770293086445</v>
      </c>
      <c r="K151" s="13">
        <v>161.5736083984375</v>
      </c>
      <c r="L151" s="8">
        <f t="shared" si="10"/>
        <v>0.62222498392005532</v>
      </c>
      <c r="M151" s="3">
        <v>166.92308044433591</v>
      </c>
      <c r="N151" s="8">
        <f t="shared" si="11"/>
        <v>0.40331798493729715</v>
      </c>
    </row>
    <row r="152" spans="1:14" x14ac:dyDescent="0.25">
      <c r="A152" s="19" t="s">
        <v>21</v>
      </c>
      <c r="B152" s="2">
        <v>41486</v>
      </c>
      <c r="C152" s="3">
        <v>83.56</v>
      </c>
      <c r="D152" s="3">
        <v>107.3566360473633</v>
      </c>
      <c r="E152" s="3">
        <v>77.356636047363295</v>
      </c>
      <c r="F152" s="3">
        <v>137.35663604736328</v>
      </c>
      <c r="G152" t="s">
        <v>3</v>
      </c>
      <c r="H152" s="8">
        <f t="shared" si="8"/>
        <v>0.28478501732124573</v>
      </c>
      <c r="I152" s="13">
        <v>122.2138595581055</v>
      </c>
      <c r="J152" s="8">
        <f t="shared" si="9"/>
        <v>0.46258807513290445</v>
      </c>
      <c r="K152" s="13">
        <v>117.6731414794922</v>
      </c>
      <c r="L152" s="8">
        <f t="shared" si="10"/>
        <v>0.40824726519258253</v>
      </c>
      <c r="M152" s="3">
        <v>135.64775085449219</v>
      </c>
      <c r="N152" s="8">
        <f t="shared" si="11"/>
        <v>0.38399273505364734</v>
      </c>
    </row>
    <row r="153" spans="1:14" x14ac:dyDescent="0.25">
      <c r="A153" s="19" t="s">
        <v>21</v>
      </c>
      <c r="B153" s="2">
        <v>41517</v>
      </c>
      <c r="C153" s="3">
        <v>144.97</v>
      </c>
      <c r="D153" s="3">
        <v>117.63795471191411</v>
      </c>
      <c r="E153" s="3">
        <v>87.637954711914105</v>
      </c>
      <c r="F153" s="3">
        <v>147.63795471191412</v>
      </c>
      <c r="G153" t="s">
        <v>3</v>
      </c>
      <c r="H153" s="8">
        <f t="shared" si="8"/>
        <v>0.18853587147744977</v>
      </c>
      <c r="I153" s="13">
        <v>116.7523193359375</v>
      </c>
      <c r="J153" s="8">
        <f t="shared" si="9"/>
        <v>0.19464496560710837</v>
      </c>
      <c r="K153" s="13">
        <v>119.6227569580078</v>
      </c>
      <c r="L153" s="8">
        <f t="shared" si="10"/>
        <v>0.17484474747873491</v>
      </c>
      <c r="M153" s="3">
        <v>143.87864685058591</v>
      </c>
      <c r="N153" s="8">
        <f t="shared" si="11"/>
        <v>7.5852336208543205E-3</v>
      </c>
    </row>
    <row r="154" spans="1:14" x14ac:dyDescent="0.25">
      <c r="A154" s="19" t="s">
        <v>21</v>
      </c>
      <c r="B154" s="2">
        <v>41547</v>
      </c>
      <c r="C154" s="3">
        <v>238.89</v>
      </c>
      <c r="D154" s="3">
        <v>169.76438903808591</v>
      </c>
      <c r="E154" s="3">
        <v>139.76438903808591</v>
      </c>
      <c r="F154" s="3">
        <v>199.76438903808591</v>
      </c>
      <c r="G154" t="s">
        <v>3</v>
      </c>
      <c r="H154" s="8">
        <f t="shared" si="8"/>
        <v>0.28936167676300423</v>
      </c>
      <c r="I154" s="13">
        <v>170.7273864746094</v>
      </c>
      <c r="J154" s="8">
        <f t="shared" si="9"/>
        <v>0.28533054345259568</v>
      </c>
      <c r="K154" s="13">
        <v>185.1014709472656</v>
      </c>
      <c r="L154" s="8">
        <f t="shared" si="10"/>
        <v>0.22516023714987815</v>
      </c>
      <c r="M154" s="3">
        <v>199.80921936035159</v>
      </c>
      <c r="N154" s="8">
        <f t="shared" si="11"/>
        <v>0.19559047758035156</v>
      </c>
    </row>
    <row r="155" spans="1:14" x14ac:dyDescent="0.25">
      <c r="A155" s="19" t="s">
        <v>21</v>
      </c>
      <c r="B155" s="2">
        <v>41578</v>
      </c>
      <c r="C155" s="3">
        <v>262.06</v>
      </c>
      <c r="D155" s="3">
        <v>252.73414611816409</v>
      </c>
      <c r="E155" s="3">
        <v>222.73414611816409</v>
      </c>
      <c r="F155" s="3">
        <v>282.73414611816406</v>
      </c>
      <c r="G155" t="s">
        <v>3</v>
      </c>
      <c r="H155" s="8">
        <f t="shared" si="8"/>
        <v>3.5586712515591513E-2</v>
      </c>
      <c r="I155" s="13">
        <v>278.42578125</v>
      </c>
      <c r="J155" s="8">
        <f t="shared" si="9"/>
        <v>6.245051228726245E-2</v>
      </c>
      <c r="K155" s="13">
        <v>285.84368896484381</v>
      </c>
      <c r="L155" s="8">
        <f t="shared" si="10"/>
        <v>9.0756654830358718E-2</v>
      </c>
      <c r="M155" s="3">
        <v>281.69967651367188</v>
      </c>
      <c r="N155" s="8">
        <f t="shared" si="11"/>
        <v>6.9718491539406111E-2</v>
      </c>
    </row>
    <row r="156" spans="1:14" x14ac:dyDescent="0.25">
      <c r="A156" s="19" t="s">
        <v>21</v>
      </c>
      <c r="B156" s="2">
        <v>41608</v>
      </c>
      <c r="C156" s="3">
        <v>242.74</v>
      </c>
      <c r="D156" s="3">
        <v>274.47174072265619</v>
      </c>
      <c r="E156" s="3">
        <v>244.47174072265619</v>
      </c>
      <c r="F156" s="3">
        <v>304.47174072265619</v>
      </c>
      <c r="G156" t="s">
        <v>3</v>
      </c>
      <c r="H156" s="8">
        <f t="shared" si="8"/>
        <v>0.1307231635604193</v>
      </c>
      <c r="I156" s="13">
        <v>288.95782470703119</v>
      </c>
      <c r="J156" s="8">
        <f t="shared" si="9"/>
        <v>0.19040053022588441</v>
      </c>
      <c r="K156" s="13">
        <v>302.0399169921875</v>
      </c>
      <c r="L156" s="8">
        <f t="shared" si="10"/>
        <v>0.24429396470374676</v>
      </c>
      <c r="M156" s="3">
        <v>280.20367431640619</v>
      </c>
      <c r="N156" s="8">
        <f t="shared" si="11"/>
        <v>0.13370158120804004</v>
      </c>
    </row>
    <row r="157" spans="1:14" x14ac:dyDescent="0.25">
      <c r="A157" s="19" t="s">
        <v>21</v>
      </c>
      <c r="B157" s="2">
        <v>41639</v>
      </c>
      <c r="C157" s="3">
        <v>245.96</v>
      </c>
      <c r="D157" s="3">
        <v>300.87716674804688</v>
      </c>
      <c r="E157" s="3">
        <v>270.87716674804688</v>
      </c>
      <c r="F157" s="3">
        <v>330.87716674804688</v>
      </c>
      <c r="G157" t="s">
        <v>3</v>
      </c>
      <c r="H157" s="8">
        <f t="shared" si="8"/>
        <v>0.22327682041001329</v>
      </c>
      <c r="I157" s="13">
        <v>319.54019165039063</v>
      </c>
      <c r="J157" s="8">
        <f t="shared" si="9"/>
        <v>0.29915511323138161</v>
      </c>
      <c r="K157" s="13">
        <v>298.70086669921881</v>
      </c>
      <c r="L157" s="8">
        <f t="shared" si="10"/>
        <v>0.214428633514469</v>
      </c>
      <c r="M157" s="3">
        <v>274.52798461914063</v>
      </c>
      <c r="N157" s="8">
        <f t="shared" si="11"/>
        <v>0.1040621948205888</v>
      </c>
    </row>
    <row r="158" spans="1:14" x14ac:dyDescent="0.25">
      <c r="A158" s="19" t="s">
        <v>21</v>
      </c>
      <c r="B158" s="2">
        <v>41670</v>
      </c>
      <c r="C158" s="3">
        <v>318.79000000000002</v>
      </c>
      <c r="D158" s="3">
        <v>280.60440063476563</v>
      </c>
      <c r="E158" s="3">
        <v>250.60440063476563</v>
      </c>
      <c r="F158" s="3">
        <v>310.60440063476563</v>
      </c>
      <c r="G158" t="s">
        <v>3</v>
      </c>
      <c r="H158" s="8">
        <f t="shared" si="8"/>
        <v>0.1197829272098698</v>
      </c>
      <c r="I158" s="13">
        <v>299.24783325195313</v>
      </c>
      <c r="J158" s="8">
        <f t="shared" si="9"/>
        <v>6.1301065742485318E-2</v>
      </c>
      <c r="K158" s="13">
        <v>287.09872436523438</v>
      </c>
      <c r="L158" s="8">
        <f t="shared" si="10"/>
        <v>9.9411134711771515E-2</v>
      </c>
      <c r="M158" s="3">
        <v>275.09588623046881</v>
      </c>
      <c r="N158" s="8">
        <f t="shared" si="11"/>
        <v>0.15883230523093073</v>
      </c>
    </row>
    <row r="159" spans="1:14" x14ac:dyDescent="0.25">
      <c r="A159" s="19" t="s">
        <v>21</v>
      </c>
      <c r="B159" s="2">
        <v>41698</v>
      </c>
      <c r="C159" s="3">
        <v>285.64999999999998</v>
      </c>
      <c r="D159" s="3">
        <v>229.76612854003909</v>
      </c>
      <c r="E159" s="3">
        <v>199.76612854003909</v>
      </c>
      <c r="F159" s="3">
        <v>259.76612854003906</v>
      </c>
      <c r="G159" t="s">
        <v>3</v>
      </c>
      <c r="H159" s="8">
        <f t="shared" si="8"/>
        <v>0.19563756856278974</v>
      </c>
      <c r="I159" s="13">
        <v>253.7522277832031</v>
      </c>
      <c r="J159" s="8">
        <f t="shared" si="9"/>
        <v>0.1116673279075683</v>
      </c>
      <c r="K159" s="13">
        <v>286.79498291015619</v>
      </c>
      <c r="L159" s="8">
        <f t="shared" si="10"/>
        <v>4.008342062510821E-3</v>
      </c>
      <c r="M159" s="3">
        <v>312.50387573242188</v>
      </c>
      <c r="N159" s="8">
        <f t="shared" si="11"/>
        <v>8.5931336593774735E-2</v>
      </c>
    </row>
    <row r="160" spans="1:14" x14ac:dyDescent="0.25">
      <c r="A160" s="19" t="s">
        <v>21</v>
      </c>
      <c r="B160" s="2">
        <v>41729</v>
      </c>
      <c r="C160" s="3">
        <v>370.04</v>
      </c>
      <c r="D160" s="3">
        <v>307.88357543945313</v>
      </c>
      <c r="E160" s="3">
        <v>277.88357543945313</v>
      </c>
      <c r="F160" s="3">
        <v>337.88357543945313</v>
      </c>
      <c r="G160" t="s">
        <v>3</v>
      </c>
      <c r="H160" s="8">
        <f t="shared" si="8"/>
        <v>0.16797217749580287</v>
      </c>
      <c r="I160" s="13">
        <v>350.60446166992188</v>
      </c>
      <c r="J160" s="8">
        <f t="shared" si="9"/>
        <v>5.2522803832229341E-2</v>
      </c>
      <c r="K160" s="13">
        <v>315.81912231445313</v>
      </c>
      <c r="L160" s="8">
        <f t="shared" si="10"/>
        <v>0.14652707189911063</v>
      </c>
      <c r="M160" s="3">
        <v>327.78860473632813</v>
      </c>
      <c r="N160" s="8">
        <f t="shared" si="11"/>
        <v>0.12889830413006198</v>
      </c>
    </row>
    <row r="161" spans="1:14" x14ac:dyDescent="0.25">
      <c r="A161" s="19" t="s">
        <v>21</v>
      </c>
      <c r="B161" s="2">
        <v>41759</v>
      </c>
      <c r="C161" s="3">
        <v>226.6</v>
      </c>
      <c r="D161" s="3">
        <v>296.78781127929688</v>
      </c>
      <c r="E161" s="3">
        <v>266.78781127929688</v>
      </c>
      <c r="F161" s="3">
        <v>326.78781127929688</v>
      </c>
      <c r="G161" t="s">
        <v>3</v>
      </c>
      <c r="H161" s="8">
        <f t="shared" si="8"/>
        <v>0.30974320952911244</v>
      </c>
      <c r="I161" s="13">
        <v>326.0875244140625</v>
      </c>
      <c r="J161" s="8">
        <f t="shared" si="9"/>
        <v>0.43904467967370919</v>
      </c>
      <c r="K161" s="13">
        <v>327.01107788085938</v>
      </c>
      <c r="L161" s="8">
        <f t="shared" si="10"/>
        <v>0.44312037899761425</v>
      </c>
      <c r="M161" s="3">
        <v>267.72171020507813</v>
      </c>
      <c r="N161" s="8">
        <f t="shared" si="11"/>
        <v>0.15359871328170732</v>
      </c>
    </row>
    <row r="162" spans="1:14" x14ac:dyDescent="0.25">
      <c r="A162" s="19" t="s">
        <v>21</v>
      </c>
      <c r="B162" s="2">
        <v>41790</v>
      </c>
      <c r="C162" s="3">
        <v>293.27</v>
      </c>
      <c r="D162" s="3">
        <v>242.0061950683594</v>
      </c>
      <c r="E162" s="3">
        <v>212.0061950683594</v>
      </c>
      <c r="F162" s="3">
        <v>272.00619506835938</v>
      </c>
      <c r="G162" t="s">
        <v>3</v>
      </c>
      <c r="H162" s="8">
        <f t="shared" si="8"/>
        <v>0.17480071242077466</v>
      </c>
      <c r="I162" s="13">
        <v>261.35293579101563</v>
      </c>
      <c r="J162" s="8">
        <f t="shared" si="9"/>
        <v>0.10883167118690748</v>
      </c>
      <c r="K162" s="13">
        <v>269.54275512695313</v>
      </c>
      <c r="L162" s="8">
        <f t="shared" si="10"/>
        <v>8.0905803092872972E-2</v>
      </c>
      <c r="M162" s="3">
        <v>245.80931091308591</v>
      </c>
      <c r="N162" s="8">
        <f t="shared" si="11"/>
        <v>0.19307929756857495</v>
      </c>
    </row>
    <row r="163" spans="1:14" x14ac:dyDescent="0.25">
      <c r="A163" s="19" t="s">
        <v>21</v>
      </c>
      <c r="B163" s="2">
        <v>41820</v>
      </c>
      <c r="C163" s="3">
        <v>179.94</v>
      </c>
      <c r="D163" s="3">
        <v>134.5308532714844</v>
      </c>
      <c r="E163" s="3">
        <v>104.5308532714844</v>
      </c>
      <c r="F163" s="3">
        <v>164.5308532714844</v>
      </c>
      <c r="G163" t="s">
        <v>3</v>
      </c>
      <c r="H163" s="8">
        <f t="shared" si="8"/>
        <v>0.25235715643278644</v>
      </c>
      <c r="I163" s="13">
        <v>141.5415954589844</v>
      </c>
      <c r="J163" s="8">
        <f t="shared" si="9"/>
        <v>0.21339560153948869</v>
      </c>
      <c r="K163" s="13">
        <v>153.56498718261719</v>
      </c>
      <c r="L163" s="8">
        <f t="shared" si="10"/>
        <v>0.14657670788808941</v>
      </c>
      <c r="M163" s="3">
        <v>169.0012512207031</v>
      </c>
      <c r="N163" s="8">
        <f t="shared" si="11"/>
        <v>6.4725844928873968E-2</v>
      </c>
    </row>
    <row r="164" spans="1:14" x14ac:dyDescent="0.25">
      <c r="A164" s="19" t="s">
        <v>21</v>
      </c>
      <c r="B164" s="2">
        <v>41851</v>
      </c>
      <c r="C164" s="3">
        <v>65.040000000000006</v>
      </c>
      <c r="D164" s="3">
        <v>108.1301345825195</v>
      </c>
      <c r="E164" s="3">
        <v>78.130134582519503</v>
      </c>
      <c r="F164" s="3">
        <v>138.1301345825195</v>
      </c>
      <c r="G164" t="s">
        <v>3</v>
      </c>
      <c r="H164" s="8">
        <f t="shared" si="8"/>
        <v>0.66251744438068105</v>
      </c>
      <c r="I164" s="13">
        <v>117.4925994873047</v>
      </c>
      <c r="J164" s="8">
        <f t="shared" si="9"/>
        <v>0.80646678178512743</v>
      </c>
      <c r="K164" s="13">
        <v>114.2558898925781</v>
      </c>
      <c r="L164" s="8">
        <f t="shared" si="10"/>
        <v>0.75670187411712919</v>
      </c>
      <c r="M164" s="3">
        <v>110.8080139160156</v>
      </c>
      <c r="N164" s="8">
        <f t="shared" si="11"/>
        <v>0.41303884347845465</v>
      </c>
    </row>
    <row r="165" spans="1:14" x14ac:dyDescent="0.25">
      <c r="A165" s="19" t="s">
        <v>21</v>
      </c>
      <c r="B165" s="2">
        <v>41882</v>
      </c>
      <c r="C165" s="3">
        <v>118.04</v>
      </c>
      <c r="D165" s="3">
        <v>107.9479446411133</v>
      </c>
      <c r="E165" s="3">
        <v>77.947944641113295</v>
      </c>
      <c r="F165" s="3">
        <v>137.94794464111328</v>
      </c>
      <c r="G165" t="s">
        <v>3</v>
      </c>
      <c r="H165" s="8">
        <f t="shared" si="8"/>
        <v>8.549691086823713E-2</v>
      </c>
      <c r="I165" s="13">
        <v>119.7267303466797</v>
      </c>
      <c r="J165" s="8">
        <f t="shared" si="9"/>
        <v>1.428948107997031E-2</v>
      </c>
      <c r="K165" s="13">
        <v>118.4131622314453</v>
      </c>
      <c r="L165" s="8">
        <f t="shared" si="10"/>
        <v>3.1613201579574046E-3</v>
      </c>
      <c r="M165" s="3">
        <v>122.57387542724609</v>
      </c>
      <c r="N165" s="8">
        <f t="shared" si="11"/>
        <v>3.6988921264361721E-2</v>
      </c>
    </row>
    <row r="166" spans="1:14" x14ac:dyDescent="0.25">
      <c r="A166" s="19" t="s">
        <v>21</v>
      </c>
      <c r="B166" s="2">
        <v>41912</v>
      </c>
      <c r="C166" s="3">
        <v>184.04</v>
      </c>
      <c r="D166" s="3">
        <v>160.37098693847659</v>
      </c>
      <c r="E166" s="3">
        <v>130.37098693847659</v>
      </c>
      <c r="F166" s="3">
        <v>190.37098693847659</v>
      </c>
      <c r="G166" t="s">
        <v>3</v>
      </c>
      <c r="H166" s="8">
        <f t="shared" si="8"/>
        <v>0.12860798229473702</v>
      </c>
      <c r="I166" s="13">
        <v>178.2266540527344</v>
      </c>
      <c r="J166" s="8">
        <f t="shared" si="9"/>
        <v>3.1587404625437888E-2</v>
      </c>
      <c r="K166" s="13">
        <v>182.92219543457031</v>
      </c>
      <c r="L166" s="8">
        <f t="shared" si="10"/>
        <v>6.0737044415870439E-3</v>
      </c>
      <c r="M166" s="3">
        <v>187.71458435058591</v>
      </c>
      <c r="N166" s="8">
        <f t="shared" si="11"/>
        <v>1.9575380161847546E-2</v>
      </c>
    </row>
    <row r="167" spans="1:14" x14ac:dyDescent="0.25">
      <c r="A167" s="19" t="s">
        <v>21</v>
      </c>
      <c r="B167" s="2">
        <v>41943</v>
      </c>
      <c r="C167" s="3">
        <v>300.52999999999997</v>
      </c>
      <c r="D167" s="3">
        <v>258.95111083984381</v>
      </c>
      <c r="E167" s="3">
        <v>228.95111083984381</v>
      </c>
      <c r="F167" s="3">
        <v>288.95111083984381</v>
      </c>
      <c r="G167" t="s">
        <v>3</v>
      </c>
      <c r="H167" s="8">
        <f t="shared" si="8"/>
        <v>0.13835187555370901</v>
      </c>
      <c r="I167" s="13">
        <v>270.4520263671875</v>
      </c>
      <c r="J167" s="8">
        <f t="shared" si="9"/>
        <v>0.10008309863511954</v>
      </c>
      <c r="K167" s="13">
        <v>274.33932495117188</v>
      </c>
      <c r="L167" s="8">
        <f t="shared" si="10"/>
        <v>8.7148288186963366E-2</v>
      </c>
      <c r="M167" s="3">
        <v>305.15185546875</v>
      </c>
      <c r="N167" s="8">
        <f t="shared" si="11"/>
        <v>1.5146083452942801E-2</v>
      </c>
    </row>
    <row r="168" spans="1:14" x14ac:dyDescent="0.25">
      <c r="A168" s="19" t="s">
        <v>21</v>
      </c>
      <c r="B168" s="2">
        <v>41973</v>
      </c>
      <c r="C168" s="3">
        <v>237.3</v>
      </c>
      <c r="D168" s="3">
        <v>274.50674438476563</v>
      </c>
      <c r="E168" s="3">
        <v>244.50674438476563</v>
      </c>
      <c r="F168" s="3">
        <v>304.50674438476563</v>
      </c>
      <c r="G168" t="s">
        <v>3</v>
      </c>
      <c r="H168" s="8">
        <f t="shared" si="8"/>
        <v>0.15679201173521118</v>
      </c>
      <c r="I168" s="13">
        <v>282.930908203125</v>
      </c>
      <c r="J168" s="8">
        <f t="shared" si="9"/>
        <v>0.19229206996681411</v>
      </c>
      <c r="K168" s="13">
        <v>294.00982666015619</v>
      </c>
      <c r="L168" s="8">
        <f t="shared" si="10"/>
        <v>0.23897946338034631</v>
      </c>
      <c r="M168" s="3">
        <v>296.16827392578119</v>
      </c>
      <c r="N168" s="8">
        <f t="shared" si="11"/>
        <v>0.19876630655089472</v>
      </c>
    </row>
    <row r="169" spans="1:14" x14ac:dyDescent="0.25">
      <c r="A169" s="19" t="s">
        <v>21</v>
      </c>
      <c r="B169" s="2">
        <v>42004</v>
      </c>
      <c r="C169" s="3">
        <v>262.94</v>
      </c>
      <c r="D169" s="3">
        <v>292.09872436523438</v>
      </c>
      <c r="E169" s="3">
        <v>262.09872436523438</v>
      </c>
      <c r="F169" s="3">
        <v>322.09872436523438</v>
      </c>
      <c r="G169" t="s">
        <v>3</v>
      </c>
      <c r="H169" s="8">
        <f t="shared" si="8"/>
        <v>0.11089497362605301</v>
      </c>
      <c r="I169" s="13">
        <v>298.22396850585938</v>
      </c>
      <c r="J169" s="8">
        <f t="shared" si="9"/>
        <v>0.13419018979941955</v>
      </c>
      <c r="K169" s="13">
        <v>292.04446411132813</v>
      </c>
      <c r="L169" s="8">
        <f t="shared" si="10"/>
        <v>0.11068861379526937</v>
      </c>
      <c r="M169" s="3">
        <v>299.27688598632813</v>
      </c>
      <c r="N169" s="8">
        <f t="shared" si="11"/>
        <v>0.12141561105386571</v>
      </c>
    </row>
    <row r="170" spans="1:14" x14ac:dyDescent="0.25">
      <c r="A170" s="19" t="s">
        <v>21</v>
      </c>
      <c r="B170" s="2">
        <v>42035</v>
      </c>
      <c r="C170" s="3">
        <v>278.42</v>
      </c>
      <c r="D170" s="3">
        <v>279.94210815429688</v>
      </c>
      <c r="E170" s="3">
        <v>249.94210815429688</v>
      </c>
      <c r="F170" s="3">
        <v>309.94210815429688</v>
      </c>
      <c r="G170" t="s">
        <v>3</v>
      </c>
      <c r="H170" s="8">
        <f t="shared" si="8"/>
        <v>5.466949767605987E-3</v>
      </c>
      <c r="I170" s="13">
        <v>270.1533203125</v>
      </c>
      <c r="J170" s="8">
        <f t="shared" si="9"/>
        <v>2.9691400357373807E-2</v>
      </c>
      <c r="K170" s="13">
        <v>280.56985473632813</v>
      </c>
      <c r="L170" s="8">
        <f t="shared" si="10"/>
        <v>7.7216246545798034E-3</v>
      </c>
      <c r="M170" s="3">
        <v>261.66717529296881</v>
      </c>
      <c r="N170" s="8">
        <f t="shared" si="11"/>
        <v>6.4023409463851738E-2</v>
      </c>
    </row>
    <row r="171" spans="1:14" x14ac:dyDescent="0.25">
      <c r="A171" s="19" t="s">
        <v>21</v>
      </c>
      <c r="B171" s="2">
        <v>42063</v>
      </c>
      <c r="C171" s="3">
        <v>161.1</v>
      </c>
      <c r="D171" s="3">
        <v>225.88197326660159</v>
      </c>
      <c r="E171" s="3">
        <v>195.88197326660159</v>
      </c>
      <c r="F171" s="3">
        <v>255.88197326660159</v>
      </c>
      <c r="G171" t="s">
        <v>3</v>
      </c>
      <c r="H171" s="8">
        <f t="shared" si="8"/>
        <v>0.40212273908505025</v>
      </c>
      <c r="I171" s="13">
        <v>251.6819763183594</v>
      </c>
      <c r="J171" s="8">
        <f t="shared" si="9"/>
        <v>0.56227173381973561</v>
      </c>
      <c r="K171" s="13">
        <v>283.13778686523438</v>
      </c>
      <c r="L171" s="8">
        <f t="shared" si="10"/>
        <v>0.75752816179537175</v>
      </c>
      <c r="M171" s="3">
        <v>239.49658203125</v>
      </c>
      <c r="N171" s="8">
        <f t="shared" si="11"/>
        <v>0.32733904328129687</v>
      </c>
    </row>
    <row r="172" spans="1:14" x14ac:dyDescent="0.25">
      <c r="A172" s="19" t="s">
        <v>21</v>
      </c>
      <c r="B172" s="2">
        <v>42094</v>
      </c>
      <c r="C172" s="3">
        <v>366.96</v>
      </c>
      <c r="D172" s="3">
        <v>312.55511474609381</v>
      </c>
      <c r="E172" s="3">
        <v>282.55511474609381</v>
      </c>
      <c r="F172" s="3">
        <v>342.55511474609381</v>
      </c>
      <c r="G172" t="s">
        <v>3</v>
      </c>
      <c r="H172" s="8">
        <f t="shared" si="8"/>
        <v>0.14825835310089977</v>
      </c>
      <c r="I172" s="13">
        <v>343.39974975585938</v>
      </c>
      <c r="J172" s="8">
        <f t="shared" si="9"/>
        <v>6.4203864846687941E-2</v>
      </c>
      <c r="K172" s="13">
        <v>309.41983032226563</v>
      </c>
      <c r="L172" s="8">
        <f t="shared" si="10"/>
        <v>0.15680229364981021</v>
      </c>
      <c r="M172" s="3">
        <v>334.07949829101563</v>
      </c>
      <c r="N172" s="8">
        <f t="shared" si="11"/>
        <v>9.8421189798190645E-2</v>
      </c>
    </row>
    <row r="173" spans="1:14" x14ac:dyDescent="0.25">
      <c r="A173" s="19" t="s">
        <v>21</v>
      </c>
      <c r="B173" s="2">
        <v>42124</v>
      </c>
      <c r="C173" s="3">
        <v>231.78</v>
      </c>
      <c r="D173" s="3">
        <v>322.16824340820313</v>
      </c>
      <c r="E173" s="3">
        <v>292.16824340820313</v>
      </c>
      <c r="F173" s="3">
        <v>352.16824340820313</v>
      </c>
      <c r="G173" t="s">
        <v>3</v>
      </c>
      <c r="H173" s="8">
        <f t="shared" si="8"/>
        <v>0.38997430066529953</v>
      </c>
      <c r="I173" s="13">
        <v>298.3470458984375</v>
      </c>
      <c r="J173" s="8">
        <f t="shared" si="9"/>
        <v>0.28719926610767754</v>
      </c>
      <c r="K173" s="13">
        <v>317.13955688476563</v>
      </c>
      <c r="L173" s="8">
        <f t="shared" si="10"/>
        <v>0.3682783539768989</v>
      </c>
      <c r="M173" s="3">
        <v>270.9334716796875</v>
      </c>
      <c r="N173" s="8">
        <f t="shared" si="11"/>
        <v>0.14451323211174474</v>
      </c>
    </row>
    <row r="174" spans="1:14" x14ac:dyDescent="0.25">
      <c r="A174" s="19" t="s">
        <v>21</v>
      </c>
      <c r="B174" s="2">
        <v>42155</v>
      </c>
      <c r="C174" s="3">
        <v>220.13</v>
      </c>
      <c r="D174" s="3">
        <v>239.06758117675781</v>
      </c>
      <c r="E174" s="3">
        <v>209.06758117675781</v>
      </c>
      <c r="F174" s="3">
        <v>269.06758117675781</v>
      </c>
      <c r="G174" t="s">
        <v>3</v>
      </c>
      <c r="H174" s="8">
        <f t="shared" si="8"/>
        <v>8.6029079074900372E-2</v>
      </c>
      <c r="I174" s="13">
        <v>231.38456726074219</v>
      </c>
      <c r="J174" s="8">
        <f t="shared" si="9"/>
        <v>5.1126912555045617E-2</v>
      </c>
      <c r="K174" s="13">
        <v>243.62306213378909</v>
      </c>
      <c r="L174" s="8">
        <f t="shared" si="10"/>
        <v>0.10672358212778402</v>
      </c>
      <c r="M174" s="3">
        <v>227.31549072265619</v>
      </c>
      <c r="N174" s="8">
        <f t="shared" si="11"/>
        <v>3.161021142823519E-2</v>
      </c>
    </row>
    <row r="175" spans="1:14" x14ac:dyDescent="0.25">
      <c r="A175" s="19" t="s">
        <v>21</v>
      </c>
      <c r="B175" s="2">
        <v>42185</v>
      </c>
      <c r="C175" s="3">
        <v>112.73</v>
      </c>
      <c r="D175" s="3">
        <v>138.6978759765625</v>
      </c>
      <c r="E175" s="3">
        <v>108.6978759765625</v>
      </c>
      <c r="F175" s="3">
        <v>168.6978759765625</v>
      </c>
      <c r="G175" t="s">
        <v>3</v>
      </c>
      <c r="H175" s="8">
        <f t="shared" si="8"/>
        <v>0.23035461701909427</v>
      </c>
      <c r="I175" s="13">
        <v>138.15470886230469</v>
      </c>
      <c r="J175" s="8">
        <f t="shared" si="9"/>
        <v>0.22553631564184054</v>
      </c>
      <c r="K175" s="13">
        <v>137.14117431640619</v>
      </c>
      <c r="L175" s="8">
        <f t="shared" si="10"/>
        <v>0.21654550089954927</v>
      </c>
      <c r="M175" s="3">
        <v>144.2810363769531</v>
      </c>
      <c r="N175" s="8">
        <f t="shared" si="11"/>
        <v>0.21867763892769579</v>
      </c>
    </row>
    <row r="176" spans="1:14" x14ac:dyDescent="0.25">
      <c r="A176" s="19" t="s">
        <v>21</v>
      </c>
      <c r="B176" s="2">
        <v>42216</v>
      </c>
      <c r="C176" s="3">
        <v>160.83000000000001</v>
      </c>
      <c r="D176" s="3">
        <v>114.1613464355469</v>
      </c>
      <c r="E176" s="3">
        <v>84.161346435546903</v>
      </c>
      <c r="F176" s="3">
        <v>144.1613464355469</v>
      </c>
      <c r="G176" t="s">
        <v>3</v>
      </c>
      <c r="H176" s="8">
        <f t="shared" si="8"/>
        <v>0.29017380814806382</v>
      </c>
      <c r="I176" s="13">
        <v>110.62884521484381</v>
      </c>
      <c r="J176" s="8">
        <f t="shared" si="9"/>
        <v>0.31213800152431886</v>
      </c>
      <c r="K176" s="13">
        <v>96.108627319335938</v>
      </c>
      <c r="L176" s="8">
        <f t="shared" si="10"/>
        <v>0.40242102021180171</v>
      </c>
      <c r="M176" s="3">
        <v>114.92576599121089</v>
      </c>
      <c r="N176" s="8">
        <f t="shared" si="11"/>
        <v>0.39942508638402036</v>
      </c>
    </row>
    <row r="177" spans="1:14" x14ac:dyDescent="0.25">
      <c r="A177" s="19" t="s">
        <v>21</v>
      </c>
      <c r="B177" s="2">
        <v>42247</v>
      </c>
      <c r="C177" s="3">
        <v>121.43</v>
      </c>
      <c r="D177" s="3">
        <v>103.3526153564453</v>
      </c>
      <c r="E177" s="3">
        <v>73.352615356445298</v>
      </c>
      <c r="F177" s="3">
        <v>133.35261535644531</v>
      </c>
      <c r="G177" t="s">
        <v>3</v>
      </c>
      <c r="H177" s="8">
        <f t="shared" si="8"/>
        <v>0.14887082799600351</v>
      </c>
      <c r="I177" s="13">
        <v>105.55564880371089</v>
      </c>
      <c r="J177" s="8">
        <f t="shared" si="9"/>
        <v>0.13072841304693331</v>
      </c>
      <c r="K177" s="13">
        <v>106.0903778076172</v>
      </c>
      <c r="L177" s="8">
        <f t="shared" si="10"/>
        <v>0.12632481423357328</v>
      </c>
      <c r="M177" s="3">
        <v>125.6142272949219</v>
      </c>
      <c r="N177" s="8">
        <f t="shared" si="11"/>
        <v>3.3310138389802034E-2</v>
      </c>
    </row>
    <row r="178" spans="1:14" x14ac:dyDescent="0.25">
      <c r="A178" s="19" t="s">
        <v>21</v>
      </c>
      <c r="B178" s="2">
        <v>42277</v>
      </c>
      <c r="C178" s="3">
        <v>171.8</v>
      </c>
      <c r="D178" s="3">
        <v>155.89373779296881</v>
      </c>
      <c r="E178" s="3">
        <v>125.89373779296881</v>
      </c>
      <c r="F178" s="3">
        <v>185.89373779296881</v>
      </c>
      <c r="G178" t="s">
        <v>3</v>
      </c>
      <c r="H178" s="8">
        <f t="shared" si="8"/>
        <v>9.2585926699832385E-2</v>
      </c>
      <c r="I178" s="13">
        <v>160.99995422363281</v>
      </c>
      <c r="J178" s="8">
        <f t="shared" si="9"/>
        <v>6.2864061562090789E-2</v>
      </c>
      <c r="K178" s="13">
        <v>172.44541931152341</v>
      </c>
      <c r="L178" s="8">
        <f t="shared" si="10"/>
        <v>3.7568062370395673E-3</v>
      </c>
      <c r="M178" s="3">
        <v>181.56114196777341</v>
      </c>
      <c r="N178" s="8">
        <f t="shared" si="11"/>
        <v>5.3762285596914636E-2</v>
      </c>
    </row>
    <row r="179" spans="1:14" x14ac:dyDescent="0.25">
      <c r="A179" s="19" t="s">
        <v>21</v>
      </c>
      <c r="B179" s="2">
        <v>42308</v>
      </c>
      <c r="C179" s="3">
        <v>284.48</v>
      </c>
      <c r="D179" s="3">
        <v>270.35382080078119</v>
      </c>
      <c r="E179" s="3">
        <v>240.35382080078119</v>
      </c>
      <c r="F179" s="3">
        <v>300.35382080078119</v>
      </c>
      <c r="G179" t="s">
        <v>3</v>
      </c>
      <c r="H179" s="8">
        <f t="shared" si="8"/>
        <v>4.9656141729537487E-2</v>
      </c>
      <c r="I179" s="13">
        <v>263.39227294921881</v>
      </c>
      <c r="J179" s="8">
        <f t="shared" si="9"/>
        <v>7.4127274503589746E-2</v>
      </c>
      <c r="K179" s="13">
        <v>267.53433227539063</v>
      </c>
      <c r="L179" s="8">
        <f t="shared" si="10"/>
        <v>5.9567167198430089E-2</v>
      </c>
      <c r="M179" s="3">
        <v>275.85202026367188</v>
      </c>
      <c r="N179" s="8">
        <f t="shared" si="11"/>
        <v>3.1277565877825105E-2</v>
      </c>
    </row>
    <row r="180" spans="1:14" x14ac:dyDescent="0.25">
      <c r="A180" s="19" t="s">
        <v>21</v>
      </c>
      <c r="B180" s="2">
        <v>42338</v>
      </c>
      <c r="C180" s="3">
        <v>291.37</v>
      </c>
      <c r="D180" s="3">
        <v>279.96688842773438</v>
      </c>
      <c r="E180" s="3">
        <v>249.96688842773438</v>
      </c>
      <c r="F180" s="3">
        <v>309.96688842773438</v>
      </c>
      <c r="G180" t="s">
        <v>3</v>
      </c>
      <c r="H180" s="8">
        <f t="shared" si="8"/>
        <v>3.9136189629219303E-2</v>
      </c>
      <c r="I180" s="13">
        <v>269.1671142578125</v>
      </c>
      <c r="J180" s="8">
        <f t="shared" si="9"/>
        <v>7.6201687689835956E-2</v>
      </c>
      <c r="K180" s="13">
        <v>286.05828857421881</v>
      </c>
      <c r="L180" s="8">
        <f t="shared" si="10"/>
        <v>1.8230124672345121E-2</v>
      </c>
      <c r="M180" s="3">
        <v>302.92953491210938</v>
      </c>
      <c r="N180" s="8">
        <f t="shared" si="11"/>
        <v>3.8159154456376139E-2</v>
      </c>
    </row>
    <row r="181" spans="1:14" x14ac:dyDescent="0.25">
      <c r="A181" s="19" t="s">
        <v>21</v>
      </c>
      <c r="B181" s="2">
        <v>42369</v>
      </c>
      <c r="C181" s="3">
        <v>173.08</v>
      </c>
      <c r="D181" s="3">
        <v>289.23672485351563</v>
      </c>
      <c r="E181" s="3">
        <v>259.23672485351563</v>
      </c>
      <c r="F181" s="3">
        <v>319.23672485351563</v>
      </c>
      <c r="G181" t="s">
        <v>3</v>
      </c>
      <c r="H181" s="8">
        <f t="shared" si="8"/>
        <v>0.67111581265030973</v>
      </c>
      <c r="I181" s="13">
        <v>256.55633544921881</v>
      </c>
      <c r="J181" s="8">
        <f t="shared" si="9"/>
        <v>0.48229914172185573</v>
      </c>
      <c r="K181" s="13">
        <v>284.35809326171881</v>
      </c>
      <c r="L181" s="8">
        <f t="shared" si="10"/>
        <v>0.64292866455811637</v>
      </c>
      <c r="M181" s="3">
        <v>255.6820373535156</v>
      </c>
      <c r="N181" s="8">
        <f t="shared" si="11"/>
        <v>0.32306546916045925</v>
      </c>
    </row>
    <row r="182" spans="1:14" x14ac:dyDescent="0.25">
      <c r="A182" s="19" t="s">
        <v>21</v>
      </c>
      <c r="B182" s="2">
        <v>42400</v>
      </c>
      <c r="C182" s="3">
        <v>353.74</v>
      </c>
      <c r="D182" s="3">
        <v>285.97958374023438</v>
      </c>
      <c r="E182" s="3">
        <v>255.97958374023438</v>
      </c>
      <c r="F182" s="3">
        <v>315.97958374023438</v>
      </c>
      <c r="G182" t="s">
        <v>3</v>
      </c>
      <c r="H182" s="8">
        <f t="shared" ref="H182:H245" si="12">IFERROR(ABS((C182-D182)/C182),0)</f>
        <v>0.19155429484866182</v>
      </c>
      <c r="I182" s="13">
        <v>272.92922973632813</v>
      </c>
      <c r="J182" s="8">
        <f t="shared" si="9"/>
        <v>0.22844679782798633</v>
      </c>
      <c r="K182" s="13">
        <v>272.27767944335938</v>
      </c>
      <c r="L182" s="8">
        <f t="shared" si="10"/>
        <v>0.23028868817956871</v>
      </c>
      <c r="M182" s="3">
        <v>290.43026733398438</v>
      </c>
      <c r="N182" s="8">
        <f t="shared" si="11"/>
        <v>0.21798600141496863</v>
      </c>
    </row>
    <row r="183" spans="1:14" x14ac:dyDescent="0.25">
      <c r="A183" s="19" t="s">
        <v>21</v>
      </c>
      <c r="B183" s="2">
        <v>42429</v>
      </c>
      <c r="C183" s="3">
        <v>278.24</v>
      </c>
      <c r="D183" s="3">
        <v>291.62014770507813</v>
      </c>
      <c r="E183" s="3">
        <v>261.62014770507813</v>
      </c>
      <c r="F183" s="3">
        <v>321.62014770507813</v>
      </c>
      <c r="G183" t="s">
        <v>3</v>
      </c>
      <c r="H183" s="8">
        <f t="shared" si="12"/>
        <v>4.8088512453558496E-2</v>
      </c>
      <c r="I183" s="13">
        <v>283.95388793945301</v>
      </c>
      <c r="J183" s="8">
        <f t="shared" si="9"/>
        <v>2.0535824969281923E-2</v>
      </c>
      <c r="K183" s="13">
        <v>281.94937133789063</v>
      </c>
      <c r="L183" s="8">
        <f t="shared" si="10"/>
        <v>1.3331553112027803E-2</v>
      </c>
      <c r="M183" s="3">
        <v>258.39260864257813</v>
      </c>
      <c r="N183" s="8">
        <f t="shared" si="11"/>
        <v>7.681098720929673E-2</v>
      </c>
    </row>
    <row r="184" spans="1:14" x14ac:dyDescent="0.25">
      <c r="A184" s="19" t="s">
        <v>21</v>
      </c>
      <c r="B184" s="2">
        <v>42460</v>
      </c>
      <c r="C184" s="3">
        <v>378.8</v>
      </c>
      <c r="D184" s="3">
        <v>319.6934814453125</v>
      </c>
      <c r="E184" s="3">
        <v>289.6934814453125</v>
      </c>
      <c r="F184" s="3">
        <v>349.6934814453125</v>
      </c>
      <c r="G184" t="s">
        <v>3</v>
      </c>
      <c r="H184" s="8">
        <f t="shared" si="12"/>
        <v>0.15603621582546862</v>
      </c>
      <c r="I184" s="13">
        <v>347.2022705078125</v>
      </c>
      <c r="J184" s="8">
        <f t="shared" si="9"/>
        <v>8.3415336568604836E-2</v>
      </c>
      <c r="K184" s="13">
        <v>313.5577392578125</v>
      </c>
      <c r="L184" s="8">
        <f t="shared" si="10"/>
        <v>0.1722340568695552</v>
      </c>
      <c r="M184" s="3">
        <v>338.1680908203125</v>
      </c>
      <c r="N184" s="8">
        <f t="shared" si="11"/>
        <v>0.12015299575168227</v>
      </c>
    </row>
    <row r="185" spans="1:14" x14ac:dyDescent="0.25">
      <c r="A185" s="19" t="s">
        <v>21</v>
      </c>
      <c r="B185" s="2">
        <v>42490</v>
      </c>
      <c r="C185" s="3">
        <v>319.26</v>
      </c>
      <c r="D185" s="3">
        <v>329.11904907226563</v>
      </c>
      <c r="E185" s="3">
        <v>299.11904907226563</v>
      </c>
      <c r="F185" s="3">
        <v>359.11904907226563</v>
      </c>
      <c r="G185" t="s">
        <v>3</v>
      </c>
      <c r="H185" s="8">
        <f t="shared" si="12"/>
        <v>3.088094052579601E-2</v>
      </c>
      <c r="I185" s="13">
        <v>317.33352661132813</v>
      </c>
      <c r="J185" s="8">
        <f t="shared" si="9"/>
        <v>6.034183388685917E-3</v>
      </c>
      <c r="K185" s="13">
        <v>323.728271484375</v>
      </c>
      <c r="L185" s="8">
        <f t="shared" si="10"/>
        <v>1.3995713476085352E-2</v>
      </c>
      <c r="M185" s="3">
        <v>338.0531005859375</v>
      </c>
      <c r="N185" s="8">
        <f t="shared" si="11"/>
        <v>5.5592155650588559E-2</v>
      </c>
    </row>
    <row r="186" spans="1:14" x14ac:dyDescent="0.25">
      <c r="A186" s="19" t="s">
        <v>21</v>
      </c>
      <c r="B186" s="2">
        <v>42521</v>
      </c>
      <c r="C186" s="3">
        <v>214.28</v>
      </c>
      <c r="D186" s="3">
        <v>276.05581665039063</v>
      </c>
      <c r="E186" s="3">
        <v>246.05581665039063</v>
      </c>
      <c r="F186" s="3">
        <v>306.05581665039063</v>
      </c>
      <c r="G186" t="s">
        <v>3</v>
      </c>
      <c r="H186" s="8">
        <f t="shared" si="12"/>
        <v>0.28829483223068242</v>
      </c>
      <c r="I186" s="13">
        <v>241.41508483886719</v>
      </c>
      <c r="J186" s="8">
        <f t="shared" si="9"/>
        <v>0.12663377281532195</v>
      </c>
      <c r="K186" s="13">
        <v>270.3924560546875</v>
      </c>
      <c r="L186" s="8">
        <f t="shared" si="10"/>
        <v>0.26186511132484364</v>
      </c>
      <c r="M186" s="3">
        <v>260.06942749023438</v>
      </c>
      <c r="N186" s="8">
        <f t="shared" si="11"/>
        <v>0.1760661679156954</v>
      </c>
    </row>
    <row r="187" spans="1:14" x14ac:dyDescent="0.25">
      <c r="A187" s="19" t="s">
        <v>21</v>
      </c>
      <c r="B187" s="2">
        <v>42551</v>
      </c>
      <c r="C187" s="3">
        <v>140.59</v>
      </c>
      <c r="D187" s="3">
        <v>154.60261535644531</v>
      </c>
      <c r="E187" s="3">
        <v>124.60261535644531</v>
      </c>
      <c r="F187" s="3">
        <v>184.60261535644531</v>
      </c>
      <c r="G187" t="s">
        <v>3</v>
      </c>
      <c r="H187" s="8">
        <f t="shared" si="12"/>
        <v>9.9670071530303064E-2</v>
      </c>
      <c r="I187" s="13">
        <v>145.6423645019531</v>
      </c>
      <c r="J187" s="8">
        <f t="shared" si="9"/>
        <v>3.5936869634775541E-2</v>
      </c>
      <c r="K187" s="13">
        <v>161.13380432128909</v>
      </c>
      <c r="L187" s="8">
        <f t="shared" si="10"/>
        <v>0.14612564422284008</v>
      </c>
      <c r="M187" s="3">
        <v>154.32044982910159</v>
      </c>
      <c r="N187" s="8">
        <f t="shared" si="11"/>
        <v>8.8973624975219018E-2</v>
      </c>
    </row>
    <row r="188" spans="1:14" x14ac:dyDescent="0.25">
      <c r="A188" s="19" t="s">
        <v>21</v>
      </c>
      <c r="B188" s="2">
        <v>42582</v>
      </c>
      <c r="C188" s="3">
        <v>138.6</v>
      </c>
      <c r="D188" s="3">
        <v>126.09531402587891</v>
      </c>
      <c r="E188" s="3">
        <v>96.095314025878906</v>
      </c>
      <c r="F188" s="3">
        <v>156.09531402587891</v>
      </c>
      <c r="G188" t="s">
        <v>3</v>
      </c>
      <c r="H188" s="8">
        <f t="shared" si="12"/>
        <v>9.022139952468318E-2</v>
      </c>
      <c r="I188" s="13">
        <v>118.4570617675781</v>
      </c>
      <c r="J188" s="8">
        <f t="shared" si="9"/>
        <v>0.14533144467836867</v>
      </c>
      <c r="K188" s="13">
        <v>115.636474609375</v>
      </c>
      <c r="L188" s="8">
        <f t="shared" si="10"/>
        <v>0.16568200137536071</v>
      </c>
      <c r="M188" s="3">
        <v>124.8201065063477</v>
      </c>
      <c r="N188" s="8">
        <f t="shared" si="11"/>
        <v>0.11039802704343568</v>
      </c>
    </row>
    <row r="189" spans="1:14" x14ac:dyDescent="0.25">
      <c r="A189" s="19" t="s">
        <v>21</v>
      </c>
      <c r="B189" s="2">
        <v>42613</v>
      </c>
      <c r="C189" s="3">
        <v>107.35</v>
      </c>
      <c r="D189" s="3">
        <v>145.89604187011719</v>
      </c>
      <c r="E189" s="3">
        <v>115.89604187011719</v>
      </c>
      <c r="F189" s="3">
        <v>175.89604187011719</v>
      </c>
      <c r="G189" t="s">
        <v>3</v>
      </c>
      <c r="H189" s="8">
        <f t="shared" si="12"/>
        <v>0.35906885766294544</v>
      </c>
      <c r="I189" s="13">
        <v>112.9798583984375</v>
      </c>
      <c r="J189" s="8">
        <f t="shared" si="9"/>
        <v>5.2443953408826322E-2</v>
      </c>
      <c r="K189" s="13">
        <v>116.9387512207031</v>
      </c>
      <c r="L189" s="8">
        <f t="shared" si="10"/>
        <v>8.9322321571524019E-2</v>
      </c>
      <c r="M189" s="3">
        <v>135.83534240722659</v>
      </c>
      <c r="N189" s="8">
        <f t="shared" si="11"/>
        <v>0.20970494057304445</v>
      </c>
    </row>
    <row r="190" spans="1:14" x14ac:dyDescent="0.25">
      <c r="A190" s="19" t="s">
        <v>21</v>
      </c>
      <c r="B190" s="2">
        <v>42643</v>
      </c>
      <c r="C190" s="3">
        <v>207.1</v>
      </c>
      <c r="D190" s="3">
        <v>202.51280212402341</v>
      </c>
      <c r="E190" s="3">
        <v>172.51280212402341</v>
      </c>
      <c r="F190" s="3">
        <v>232.51280212402341</v>
      </c>
      <c r="G190" t="s">
        <v>3</v>
      </c>
      <c r="H190" s="8">
        <f t="shared" si="12"/>
        <v>2.2149675885932328E-2</v>
      </c>
      <c r="I190" s="13">
        <v>164.91094970703119</v>
      </c>
      <c r="J190" s="8">
        <f t="shared" si="9"/>
        <v>0.20371342488154903</v>
      </c>
      <c r="K190" s="13">
        <v>182.04237365722659</v>
      </c>
      <c r="L190" s="8">
        <f t="shared" si="10"/>
        <v>0.12099288432048964</v>
      </c>
      <c r="M190" s="3">
        <v>193.05128479003909</v>
      </c>
      <c r="N190" s="8">
        <f t="shared" si="11"/>
        <v>7.2771933246858031E-2</v>
      </c>
    </row>
    <row r="191" spans="1:14" x14ac:dyDescent="0.25">
      <c r="A191" s="19" t="s">
        <v>21</v>
      </c>
      <c r="B191" s="2">
        <v>42674</v>
      </c>
      <c r="C191" s="3">
        <v>295.42</v>
      </c>
      <c r="D191" s="3">
        <v>270.61602783203119</v>
      </c>
      <c r="E191" s="3">
        <v>240.61602783203119</v>
      </c>
      <c r="F191" s="3">
        <v>300.61602783203119</v>
      </c>
      <c r="G191" t="s">
        <v>3</v>
      </c>
      <c r="H191" s="8">
        <f t="shared" si="12"/>
        <v>8.3961722862259905E-2</v>
      </c>
      <c r="I191" s="13">
        <v>274.0509033203125</v>
      </c>
      <c r="J191" s="8">
        <f t="shared" si="9"/>
        <v>7.2334630965024418E-2</v>
      </c>
      <c r="K191" s="13">
        <v>278.49789428710938</v>
      </c>
      <c r="L191" s="8">
        <f t="shared" si="10"/>
        <v>5.7281516867140475E-2</v>
      </c>
      <c r="M191" s="3">
        <v>282.8199462890625</v>
      </c>
      <c r="N191" s="8">
        <f t="shared" si="11"/>
        <v>4.4551503089740874E-2</v>
      </c>
    </row>
    <row r="192" spans="1:14" x14ac:dyDescent="0.25">
      <c r="A192" s="19" t="s">
        <v>21</v>
      </c>
      <c r="B192" s="2">
        <v>42704</v>
      </c>
      <c r="C192" s="3">
        <v>257.92</v>
      </c>
      <c r="D192" s="3">
        <v>300.35354614257813</v>
      </c>
      <c r="E192" s="3">
        <v>270.35354614257813</v>
      </c>
      <c r="F192" s="3">
        <v>330.35354614257813</v>
      </c>
      <c r="G192" t="s">
        <v>3</v>
      </c>
      <c r="H192" s="8">
        <f t="shared" si="12"/>
        <v>0.16452212369175756</v>
      </c>
      <c r="I192" s="13">
        <v>280.5772705078125</v>
      </c>
      <c r="J192" s="8">
        <f t="shared" si="9"/>
        <v>8.7846117043317629E-2</v>
      </c>
      <c r="K192" s="13">
        <v>297.13943481445313</v>
      </c>
      <c r="L192" s="8">
        <f t="shared" si="10"/>
        <v>0.15206046376571458</v>
      </c>
      <c r="M192" s="3">
        <v>295.81790161132813</v>
      </c>
      <c r="N192" s="8">
        <f t="shared" si="11"/>
        <v>0.12811226570433099</v>
      </c>
    </row>
    <row r="193" spans="1:14" x14ac:dyDescent="0.25">
      <c r="A193" s="19" t="s">
        <v>21</v>
      </c>
      <c r="B193" s="2">
        <v>42735</v>
      </c>
      <c r="C193" s="3">
        <v>408.82</v>
      </c>
      <c r="D193" s="3">
        <v>335.5238037109375</v>
      </c>
      <c r="E193" s="3">
        <v>305.5238037109375</v>
      </c>
      <c r="F193" s="3">
        <v>365.5238037109375</v>
      </c>
      <c r="G193" t="s">
        <v>3</v>
      </c>
      <c r="H193" s="8">
        <f t="shared" si="12"/>
        <v>0.1792872077908676</v>
      </c>
      <c r="I193" s="13">
        <v>299.0821533203125</v>
      </c>
      <c r="J193" s="8">
        <f t="shared" si="9"/>
        <v>0.26842582720925467</v>
      </c>
      <c r="K193" s="13">
        <v>295.12713623046881</v>
      </c>
      <c r="L193" s="8">
        <f t="shared" si="10"/>
        <v>0.27810005324967269</v>
      </c>
      <c r="M193" s="3">
        <v>318.31442260742188</v>
      </c>
      <c r="N193" s="8">
        <f t="shared" si="11"/>
        <v>0.28432760492350961</v>
      </c>
    </row>
    <row r="194" spans="1:14" x14ac:dyDescent="0.25">
      <c r="A194" s="19" t="s">
        <v>21</v>
      </c>
      <c r="B194" s="2">
        <v>42766</v>
      </c>
      <c r="C194" s="3">
        <v>317.45999999999998</v>
      </c>
      <c r="D194" s="3">
        <v>307.10711669921881</v>
      </c>
      <c r="E194" s="3">
        <v>277.10711669921881</v>
      </c>
      <c r="F194" s="3">
        <v>337.10711669921881</v>
      </c>
      <c r="G194" t="s">
        <v>3</v>
      </c>
      <c r="H194" s="8">
        <f t="shared" si="12"/>
        <v>3.2611615009075702E-2</v>
      </c>
      <c r="I194" s="13">
        <v>259.47763061523438</v>
      </c>
      <c r="J194" s="8">
        <f t="shared" si="9"/>
        <v>0.18264464620665788</v>
      </c>
      <c r="K194" s="13">
        <v>289.68350219726563</v>
      </c>
      <c r="L194" s="8">
        <f t="shared" si="10"/>
        <v>8.7496055574668802E-2</v>
      </c>
      <c r="M194" s="3">
        <v>311.62765502929688</v>
      </c>
      <c r="N194" s="8">
        <f t="shared" si="11"/>
        <v>1.871574899267137E-2</v>
      </c>
    </row>
    <row r="195" spans="1:14" x14ac:dyDescent="0.25">
      <c r="A195" s="19" t="s">
        <v>21</v>
      </c>
      <c r="B195" s="2">
        <v>42794</v>
      </c>
      <c r="C195" s="3">
        <v>232.32</v>
      </c>
      <c r="D195" s="3">
        <v>300.16177368164063</v>
      </c>
      <c r="E195" s="3">
        <v>270.16177368164063</v>
      </c>
      <c r="F195" s="3">
        <v>330.16177368164063</v>
      </c>
      <c r="G195" t="s">
        <v>3</v>
      </c>
      <c r="H195" s="8">
        <f t="shared" si="12"/>
        <v>0.29201865393268178</v>
      </c>
      <c r="I195" s="13">
        <v>262.99462890625</v>
      </c>
      <c r="J195" s="8">
        <f t="shared" ref="J195:J258" si="13">IFERROR(ABS((C195-I195)/C195),0)</f>
        <v>0.13203610927277035</v>
      </c>
      <c r="K195" s="13">
        <v>294.9200439453125</v>
      </c>
      <c r="L195" s="8">
        <f t="shared" ref="L195:L258" si="14">IFERROR(ABS((C195-K195)/C195),0)</f>
        <v>0.2694561120235559</v>
      </c>
      <c r="M195" s="3">
        <v>251.28083801269531</v>
      </c>
      <c r="N195" s="8">
        <f t="shared" ref="N195:N258" si="15">IFERROR(ABS((C195-M195)/M195),0)</f>
        <v>7.5456760502117443E-2</v>
      </c>
    </row>
    <row r="196" spans="1:14" x14ac:dyDescent="0.25">
      <c r="A196" s="19" t="s">
        <v>21</v>
      </c>
      <c r="B196" s="2">
        <v>42825</v>
      </c>
      <c r="C196" s="3">
        <v>483.45</v>
      </c>
      <c r="D196" s="3">
        <v>379.90402221679688</v>
      </c>
      <c r="E196" s="3">
        <v>349.90402221679688</v>
      </c>
      <c r="F196" s="3">
        <v>409.90402221679688</v>
      </c>
      <c r="G196" t="s">
        <v>3</v>
      </c>
      <c r="H196" s="8">
        <f t="shared" si="12"/>
        <v>0.21418135853387757</v>
      </c>
      <c r="I196" s="13">
        <v>384.35504150390619</v>
      </c>
      <c r="J196" s="8">
        <f t="shared" si="13"/>
        <v>0.20497457543922598</v>
      </c>
      <c r="K196" s="13">
        <v>324.63070678710938</v>
      </c>
      <c r="L196" s="8">
        <f t="shared" si="14"/>
        <v>0.32851234504683136</v>
      </c>
      <c r="M196" s="3">
        <v>357.36849975585938</v>
      </c>
      <c r="N196" s="8">
        <f t="shared" si="15"/>
        <v>0.35280529853715342</v>
      </c>
    </row>
    <row r="197" spans="1:14" x14ac:dyDescent="0.25">
      <c r="A197" s="19" t="s">
        <v>21</v>
      </c>
      <c r="B197" s="2">
        <v>42855</v>
      </c>
      <c r="C197" s="3">
        <v>299.54000000000002</v>
      </c>
      <c r="D197" s="3">
        <v>338.9085693359375</v>
      </c>
      <c r="E197" s="3">
        <v>308.9085693359375</v>
      </c>
      <c r="F197" s="3">
        <v>368.9085693359375</v>
      </c>
      <c r="G197" t="s">
        <v>3</v>
      </c>
      <c r="H197" s="8">
        <f t="shared" si="12"/>
        <v>0.1314300905920327</v>
      </c>
      <c r="I197" s="13">
        <v>370.6025390625</v>
      </c>
      <c r="J197" s="8">
        <f t="shared" si="13"/>
        <v>0.23723889651632496</v>
      </c>
      <c r="K197" s="13">
        <v>335.50848388671881</v>
      </c>
      <c r="L197" s="8">
        <f t="shared" si="14"/>
        <v>0.12007906752593571</v>
      </c>
      <c r="M197" s="3">
        <v>319.00299072265619</v>
      </c>
      <c r="N197" s="8">
        <f t="shared" si="15"/>
        <v>6.101193809677307E-2</v>
      </c>
    </row>
    <row r="198" spans="1:14" x14ac:dyDescent="0.25">
      <c r="A198" s="19" t="s">
        <v>21</v>
      </c>
      <c r="B198" s="2">
        <v>42886</v>
      </c>
      <c r="C198" s="3">
        <v>352</v>
      </c>
      <c r="D198" s="3">
        <v>284.61605834960938</v>
      </c>
      <c r="E198" s="3">
        <v>254.61605834960938</v>
      </c>
      <c r="F198" s="3">
        <v>314.61605834960938</v>
      </c>
      <c r="G198" t="s">
        <v>3</v>
      </c>
      <c r="H198" s="8">
        <f t="shared" si="12"/>
        <v>0.19143165241588245</v>
      </c>
      <c r="I198" s="13">
        <v>301.16531372070313</v>
      </c>
      <c r="J198" s="8">
        <f t="shared" si="13"/>
        <v>0.14441672238436612</v>
      </c>
      <c r="K198" s="13">
        <v>293.65463256835938</v>
      </c>
      <c r="L198" s="8">
        <f t="shared" si="14"/>
        <v>0.16575388474897904</v>
      </c>
      <c r="M198" s="3">
        <v>263.10372924804688</v>
      </c>
      <c r="N198" s="8">
        <f t="shared" si="15"/>
        <v>0.33787537335947143</v>
      </c>
    </row>
    <row r="199" spans="1:14" x14ac:dyDescent="0.25">
      <c r="A199" s="19" t="s">
        <v>21</v>
      </c>
      <c r="B199" s="2">
        <v>42916</v>
      </c>
      <c r="C199" s="3">
        <v>206.89</v>
      </c>
      <c r="D199" s="3">
        <v>170.17390441894531</v>
      </c>
      <c r="E199" s="3">
        <v>140.17390441894531</v>
      </c>
      <c r="F199" s="3">
        <v>200.17390441894531</v>
      </c>
      <c r="G199" t="s">
        <v>3</v>
      </c>
      <c r="H199" s="8">
        <f t="shared" si="12"/>
        <v>0.17746674842213098</v>
      </c>
      <c r="I199" s="13">
        <v>189.7940368652344</v>
      </c>
      <c r="J199" s="8">
        <f t="shared" si="13"/>
        <v>8.2633105199698312E-2</v>
      </c>
      <c r="K199" s="13">
        <v>200.0163879394531</v>
      </c>
      <c r="L199" s="8">
        <f t="shared" si="14"/>
        <v>3.32235103704717E-2</v>
      </c>
      <c r="M199" s="3">
        <v>193.884033203125</v>
      </c>
      <c r="N199" s="8">
        <f t="shared" si="15"/>
        <v>6.7081164869564711E-2</v>
      </c>
    </row>
    <row r="200" spans="1:14" x14ac:dyDescent="0.25">
      <c r="A200" s="19" t="s">
        <v>21</v>
      </c>
      <c r="B200" s="2">
        <v>42947</v>
      </c>
      <c r="C200" s="3">
        <v>88.98</v>
      </c>
      <c r="D200" s="3">
        <v>143.3995056152344</v>
      </c>
      <c r="E200" s="3">
        <v>113.3995056152344</v>
      </c>
      <c r="F200" s="3">
        <v>173.3995056152344</v>
      </c>
      <c r="G200" t="s">
        <v>3</v>
      </c>
      <c r="H200" s="8">
        <f t="shared" si="12"/>
        <v>0.61159255580169025</v>
      </c>
      <c r="I200" s="13">
        <v>144.09840393066409</v>
      </c>
      <c r="J200" s="8">
        <f t="shared" si="13"/>
        <v>0.61944711093126636</v>
      </c>
      <c r="K200" s="13">
        <v>141.91679382324219</v>
      </c>
      <c r="L200" s="8">
        <f t="shared" si="14"/>
        <v>0.59492912815511556</v>
      </c>
      <c r="M200" s="3">
        <v>119.1118621826172</v>
      </c>
      <c r="N200" s="8">
        <f t="shared" si="15"/>
        <v>0.25297112840382191</v>
      </c>
    </row>
    <row r="201" spans="1:14" x14ac:dyDescent="0.25">
      <c r="A201" s="19" t="s">
        <v>21</v>
      </c>
      <c r="B201" s="2">
        <v>42978</v>
      </c>
      <c r="C201" s="3">
        <v>188.61</v>
      </c>
      <c r="D201" s="3">
        <v>151.47135925292969</v>
      </c>
      <c r="E201" s="3">
        <v>121.47135925292969</v>
      </c>
      <c r="F201" s="3">
        <v>181.47135925292969</v>
      </c>
      <c r="G201" t="s">
        <v>3</v>
      </c>
      <c r="H201" s="8">
        <f t="shared" si="12"/>
        <v>0.19690706085080495</v>
      </c>
      <c r="I201" s="13">
        <v>149.21186828613281</v>
      </c>
      <c r="J201" s="8">
        <f t="shared" si="13"/>
        <v>0.20888675952424154</v>
      </c>
      <c r="K201" s="13">
        <v>137.95014953613281</v>
      </c>
      <c r="L201" s="8">
        <f t="shared" si="14"/>
        <v>0.2685957821105307</v>
      </c>
      <c r="M201" s="3">
        <v>156.1673889160156</v>
      </c>
      <c r="N201" s="8">
        <f t="shared" si="15"/>
        <v>0.20774254669412159</v>
      </c>
    </row>
    <row r="202" spans="1:14" x14ac:dyDescent="0.25">
      <c r="A202" s="19" t="s">
        <v>21</v>
      </c>
      <c r="B202" s="2">
        <v>43008</v>
      </c>
      <c r="C202" s="3">
        <v>192.02</v>
      </c>
      <c r="D202" s="3">
        <v>207.20851135253909</v>
      </c>
      <c r="E202" s="3">
        <v>177.20851135253909</v>
      </c>
      <c r="F202" s="3">
        <v>237.20851135253909</v>
      </c>
      <c r="G202" t="s">
        <v>3</v>
      </c>
      <c r="H202" s="8">
        <f t="shared" si="12"/>
        <v>7.909859052462806E-2</v>
      </c>
      <c r="I202" s="13">
        <v>218.88249206542969</v>
      </c>
      <c r="J202" s="8">
        <f t="shared" si="13"/>
        <v>0.1398942405240583</v>
      </c>
      <c r="K202" s="13">
        <v>205.38838195800781</v>
      </c>
      <c r="L202" s="8">
        <f t="shared" si="14"/>
        <v>6.9619737308654311E-2</v>
      </c>
      <c r="M202" s="3">
        <v>209.5431823730469</v>
      </c>
      <c r="N202" s="8">
        <f t="shared" si="15"/>
        <v>8.3625638279419698E-2</v>
      </c>
    </row>
    <row r="203" spans="1:14" x14ac:dyDescent="0.25">
      <c r="A203" s="19" t="s">
        <v>21</v>
      </c>
      <c r="B203" s="2">
        <v>43039</v>
      </c>
      <c r="C203" s="3">
        <v>325.64</v>
      </c>
      <c r="D203" s="3">
        <v>290.351806640625</v>
      </c>
      <c r="E203" s="3">
        <v>260.351806640625</v>
      </c>
      <c r="F203" s="3">
        <v>320.351806640625</v>
      </c>
      <c r="G203" t="s">
        <v>3</v>
      </c>
      <c r="H203" s="8">
        <f t="shared" si="12"/>
        <v>0.10836565949937044</v>
      </c>
      <c r="I203" s="13">
        <v>285.2569580078125</v>
      </c>
      <c r="J203" s="8">
        <f t="shared" si="13"/>
        <v>0.12401130694075509</v>
      </c>
      <c r="K203" s="13">
        <v>295.45867919921881</v>
      </c>
      <c r="L203" s="8">
        <f t="shared" si="14"/>
        <v>9.2683088075117243E-2</v>
      </c>
      <c r="M203" s="3">
        <v>294.05984497070313</v>
      </c>
      <c r="N203" s="8">
        <f t="shared" si="15"/>
        <v>0.10739363285879158</v>
      </c>
    </row>
    <row r="204" spans="1:14" x14ac:dyDescent="0.25">
      <c r="A204" s="19" t="s">
        <v>21</v>
      </c>
      <c r="B204" s="2">
        <v>43069</v>
      </c>
      <c r="C204" s="3">
        <v>279.61</v>
      </c>
      <c r="D204" s="3">
        <v>313.47064208984381</v>
      </c>
      <c r="E204" s="3">
        <v>283.47064208984381</v>
      </c>
      <c r="F204" s="3">
        <v>343.47064208984381</v>
      </c>
      <c r="G204" t="s">
        <v>3</v>
      </c>
      <c r="H204" s="8">
        <f t="shared" si="12"/>
        <v>0.12109953896442828</v>
      </c>
      <c r="I204" s="13">
        <v>319.273193359375</v>
      </c>
      <c r="J204" s="8">
        <f t="shared" si="13"/>
        <v>0.1418518413482171</v>
      </c>
      <c r="K204" s="13">
        <v>317.0103759765625</v>
      </c>
      <c r="L204" s="8">
        <f t="shared" si="14"/>
        <v>0.13375907863296194</v>
      </c>
      <c r="M204" s="3">
        <v>297.35107421875</v>
      </c>
      <c r="N204" s="8">
        <f t="shared" si="15"/>
        <v>5.9663730038178861E-2</v>
      </c>
    </row>
    <row r="205" spans="1:14" x14ac:dyDescent="0.25">
      <c r="A205" s="19" t="s">
        <v>21</v>
      </c>
      <c r="B205" s="2">
        <v>43100</v>
      </c>
      <c r="C205" s="3">
        <v>318.75</v>
      </c>
      <c r="D205" s="3">
        <v>339.361328125</v>
      </c>
      <c r="E205" s="3">
        <v>309.361328125</v>
      </c>
      <c r="F205" s="3">
        <v>369.361328125</v>
      </c>
      <c r="G205" t="s">
        <v>3</v>
      </c>
      <c r="H205" s="8">
        <f t="shared" si="12"/>
        <v>6.4662990196078435E-2</v>
      </c>
      <c r="I205" s="13">
        <v>315.75613403320313</v>
      </c>
      <c r="J205" s="8">
        <f t="shared" si="13"/>
        <v>9.3925206801470582E-3</v>
      </c>
      <c r="K205" s="13">
        <v>320.6781005859375</v>
      </c>
      <c r="L205" s="8">
        <f t="shared" si="14"/>
        <v>6.0489430147058825E-3</v>
      </c>
      <c r="M205" s="3">
        <v>326.52252197265619</v>
      </c>
      <c r="N205" s="8">
        <f t="shared" si="15"/>
        <v>2.38039383185552E-2</v>
      </c>
    </row>
    <row r="206" spans="1:14" x14ac:dyDescent="0.25">
      <c r="A206" s="19" t="s">
        <v>21</v>
      </c>
      <c r="B206" s="2">
        <v>43131</v>
      </c>
      <c r="C206" s="3">
        <v>313.39</v>
      </c>
      <c r="D206" s="3">
        <v>317.57015991210938</v>
      </c>
      <c r="E206" s="3">
        <v>287.57015991210938</v>
      </c>
      <c r="F206" s="3">
        <v>347.57015991210938</v>
      </c>
      <c r="G206" t="s">
        <v>3</v>
      </c>
      <c r="H206" s="8">
        <f t="shared" si="12"/>
        <v>1.3338523603527198E-2</v>
      </c>
      <c r="I206" s="13">
        <v>332.08843994140619</v>
      </c>
      <c r="J206" s="8">
        <f t="shared" si="13"/>
        <v>5.9665081659932374E-2</v>
      </c>
      <c r="K206" s="13">
        <v>311.53494262695313</v>
      </c>
      <c r="L206" s="8">
        <f t="shared" si="14"/>
        <v>5.9193253551385223E-3</v>
      </c>
      <c r="M206" s="3">
        <v>303.52651977539063</v>
      </c>
      <c r="N206" s="8">
        <f t="shared" si="15"/>
        <v>3.2496271600611137E-2</v>
      </c>
    </row>
    <row r="207" spans="1:14" x14ac:dyDescent="0.25">
      <c r="A207" s="19" t="s">
        <v>21</v>
      </c>
      <c r="B207" s="2">
        <v>43159</v>
      </c>
      <c r="C207" s="3">
        <v>383.69</v>
      </c>
      <c r="D207" s="3">
        <v>305.18923950195313</v>
      </c>
      <c r="E207" s="3">
        <v>275.18923950195313</v>
      </c>
      <c r="F207" s="3">
        <v>335.18923950195313</v>
      </c>
      <c r="G207" t="s">
        <v>3</v>
      </c>
      <c r="H207" s="8">
        <f t="shared" si="12"/>
        <v>0.20459423101474333</v>
      </c>
      <c r="I207" s="13">
        <v>312.806884765625</v>
      </c>
      <c r="J207" s="8">
        <f t="shared" si="13"/>
        <v>0.18474058545798691</v>
      </c>
      <c r="K207" s="13">
        <v>304.69244384765619</v>
      </c>
      <c r="L207" s="8">
        <f t="shared" si="14"/>
        <v>0.20588901496610235</v>
      </c>
      <c r="M207" s="3">
        <v>327.35079956054688</v>
      </c>
      <c r="N207" s="8">
        <f t="shared" si="15"/>
        <v>0.17210650016766679</v>
      </c>
    </row>
    <row r="208" spans="1:14" x14ac:dyDescent="0.25">
      <c r="A208" s="19" t="s">
        <v>21</v>
      </c>
      <c r="B208" s="2">
        <v>43190</v>
      </c>
      <c r="C208" s="3">
        <v>230.76</v>
      </c>
      <c r="D208" s="3">
        <v>348.58612060546881</v>
      </c>
      <c r="E208" s="3">
        <v>318.58612060546881</v>
      </c>
      <c r="F208" s="3">
        <v>378.58612060546881</v>
      </c>
      <c r="G208" t="s">
        <v>3</v>
      </c>
      <c r="H208" s="8">
        <f t="shared" si="12"/>
        <v>0.51060027996823032</v>
      </c>
      <c r="I208" s="13">
        <v>270.77749633789063</v>
      </c>
      <c r="J208" s="8">
        <f t="shared" si="13"/>
        <v>0.17341608744102374</v>
      </c>
      <c r="K208" s="13">
        <v>327.91976928710938</v>
      </c>
      <c r="L208" s="8">
        <f t="shared" si="14"/>
        <v>0.42104250861115178</v>
      </c>
      <c r="M208" s="3">
        <v>315.485595703125</v>
      </c>
      <c r="N208" s="8">
        <f t="shared" si="15"/>
        <v>0.26855614600817662</v>
      </c>
    </row>
    <row r="209" spans="1:14" x14ac:dyDescent="0.25">
      <c r="A209" s="19" t="s">
        <v>21</v>
      </c>
      <c r="B209" s="2">
        <v>43220</v>
      </c>
      <c r="C209" s="3">
        <v>258.58999999999997</v>
      </c>
      <c r="D209" s="3">
        <v>311.52359008789063</v>
      </c>
      <c r="E209" s="3">
        <v>281.52359008789063</v>
      </c>
      <c r="F209" s="3">
        <v>341.52359008789063</v>
      </c>
      <c r="G209" t="s">
        <v>3</v>
      </c>
      <c r="H209" s="8">
        <f t="shared" si="12"/>
        <v>0.20470083950613194</v>
      </c>
      <c r="I209" s="13">
        <v>343.63204956054688</v>
      </c>
      <c r="J209" s="8">
        <f t="shared" si="13"/>
        <v>0.32886828400381651</v>
      </c>
      <c r="K209" s="13">
        <v>334.9954833984375</v>
      </c>
      <c r="L209" s="8">
        <f t="shared" si="14"/>
        <v>0.29546959819961149</v>
      </c>
      <c r="M209" s="3">
        <v>270.2083740234375</v>
      </c>
      <c r="N209" s="8">
        <f t="shared" si="15"/>
        <v>4.2997831082872966E-2</v>
      </c>
    </row>
    <row r="210" spans="1:14" x14ac:dyDescent="0.25">
      <c r="A210" s="19" t="s">
        <v>21</v>
      </c>
      <c r="B210" s="2">
        <v>43251</v>
      </c>
      <c r="C210" s="3">
        <v>318.05</v>
      </c>
      <c r="D210" s="3">
        <v>283.06683349609381</v>
      </c>
      <c r="E210" s="3">
        <v>253.06683349609381</v>
      </c>
      <c r="F210" s="3">
        <v>313.06683349609381</v>
      </c>
      <c r="G210" t="s">
        <v>3</v>
      </c>
      <c r="H210" s="8">
        <f t="shared" si="12"/>
        <v>0.10999266311556738</v>
      </c>
      <c r="I210" s="13">
        <v>268.30474853515619</v>
      </c>
      <c r="J210" s="8">
        <f t="shared" si="13"/>
        <v>0.15640701608188592</v>
      </c>
      <c r="K210" s="13">
        <v>288.46163940429688</v>
      </c>
      <c r="L210" s="8">
        <f t="shared" si="14"/>
        <v>9.3030531663899185E-2</v>
      </c>
      <c r="M210" s="3">
        <v>291.4354248046875</v>
      </c>
      <c r="N210" s="8">
        <f t="shared" si="15"/>
        <v>9.1322375147595433E-2</v>
      </c>
    </row>
    <row r="211" spans="1:14" x14ac:dyDescent="0.25">
      <c r="A211" s="19" t="s">
        <v>21</v>
      </c>
      <c r="B211" s="2">
        <v>43281</v>
      </c>
      <c r="C211" s="3">
        <v>152.51</v>
      </c>
      <c r="D211" s="3">
        <v>173.80381774902341</v>
      </c>
      <c r="E211" s="3">
        <v>143.80381774902341</v>
      </c>
      <c r="F211" s="3">
        <v>203.80381774902341</v>
      </c>
      <c r="G211" t="s">
        <v>3</v>
      </c>
      <c r="H211" s="8">
        <f t="shared" si="12"/>
        <v>0.13962243622728621</v>
      </c>
      <c r="I211" s="13">
        <v>157.22955322265619</v>
      </c>
      <c r="J211" s="8">
        <f t="shared" si="13"/>
        <v>3.0945860747860484E-2</v>
      </c>
      <c r="K211" s="13">
        <v>176.69465637207031</v>
      </c>
      <c r="L211" s="8">
        <f t="shared" si="14"/>
        <v>0.15857751211114238</v>
      </c>
      <c r="M211" s="3">
        <v>173.58671569824219</v>
      </c>
      <c r="N211" s="8">
        <f t="shared" si="15"/>
        <v>0.12141894391781288</v>
      </c>
    </row>
    <row r="212" spans="1:14" x14ac:dyDescent="0.25">
      <c r="A212" s="19" t="s">
        <v>21</v>
      </c>
      <c r="B212" s="2">
        <v>43312</v>
      </c>
      <c r="C212" s="3">
        <v>146.21</v>
      </c>
      <c r="D212" s="3">
        <v>146.9264221191406</v>
      </c>
      <c r="E212" s="3">
        <v>116.9264221191406</v>
      </c>
      <c r="F212" s="3">
        <v>176.9264221191406</v>
      </c>
      <c r="G212" t="s">
        <v>3</v>
      </c>
      <c r="H212" s="8">
        <f t="shared" si="12"/>
        <v>4.8999529385171233E-3</v>
      </c>
      <c r="I212" s="13">
        <v>119.25221252441411</v>
      </c>
      <c r="J212" s="8">
        <f t="shared" si="13"/>
        <v>0.18437717991646194</v>
      </c>
      <c r="K212" s="13">
        <v>121.4939270019531</v>
      </c>
      <c r="L212" s="8">
        <f t="shared" si="14"/>
        <v>0.16904502426678689</v>
      </c>
      <c r="M212" s="3">
        <v>137.1932678222656</v>
      </c>
      <c r="N212" s="8">
        <f t="shared" si="15"/>
        <v>6.5722847198418088E-2</v>
      </c>
    </row>
    <row r="213" spans="1:14" x14ac:dyDescent="0.25">
      <c r="A213" s="19" t="s">
        <v>21</v>
      </c>
      <c r="B213" s="2">
        <v>43343</v>
      </c>
      <c r="C213" s="3">
        <v>83.45</v>
      </c>
      <c r="D213" s="3">
        <v>142.0665283203125</v>
      </c>
      <c r="E213" s="3">
        <v>112.0665283203125</v>
      </c>
      <c r="F213" s="3">
        <v>172.0665283203125</v>
      </c>
      <c r="G213" t="s">
        <v>3</v>
      </c>
      <c r="H213" s="8">
        <f t="shared" si="12"/>
        <v>0.70241495890128813</v>
      </c>
      <c r="I213" s="13">
        <v>135.0847473144531</v>
      </c>
      <c r="J213" s="8">
        <f t="shared" si="13"/>
        <v>0.61875071676995919</v>
      </c>
      <c r="K213" s="13">
        <v>127.3112411499023</v>
      </c>
      <c r="L213" s="8">
        <f t="shared" si="14"/>
        <v>0.52559905512165728</v>
      </c>
      <c r="M213" s="3">
        <v>115.5906524658203</v>
      </c>
      <c r="N213" s="8">
        <f t="shared" si="15"/>
        <v>0.27805580970592897</v>
      </c>
    </row>
    <row r="214" spans="1:14" x14ac:dyDescent="0.25">
      <c r="A214" s="19" t="s">
        <v>21</v>
      </c>
      <c r="B214" s="2">
        <v>43373</v>
      </c>
      <c r="C214" s="3">
        <v>179.34</v>
      </c>
      <c r="D214" s="3">
        <v>195.80430603027341</v>
      </c>
      <c r="E214" s="3">
        <v>165.80430603027341</v>
      </c>
      <c r="F214" s="3">
        <v>225.80430603027341</v>
      </c>
      <c r="G214" t="s">
        <v>3</v>
      </c>
      <c r="H214" s="8">
        <f t="shared" si="12"/>
        <v>9.1804985113602133E-2</v>
      </c>
      <c r="I214" s="13">
        <v>197.060302734375</v>
      </c>
      <c r="J214" s="8">
        <f t="shared" si="13"/>
        <v>9.8808423856222793E-2</v>
      </c>
      <c r="K214" s="13">
        <v>190.90550231933591</v>
      </c>
      <c r="L214" s="8">
        <f t="shared" si="14"/>
        <v>6.4489251250897203E-2</v>
      </c>
      <c r="M214" s="3">
        <v>200.43833923339841</v>
      </c>
      <c r="N214" s="8">
        <f t="shared" si="15"/>
        <v>0.10526099604542551</v>
      </c>
    </row>
    <row r="215" spans="1:14" x14ac:dyDescent="0.25">
      <c r="A215" s="19" t="s">
        <v>21</v>
      </c>
      <c r="B215" s="2">
        <v>43404</v>
      </c>
      <c r="C215" s="3">
        <v>262.08</v>
      </c>
      <c r="D215" s="3">
        <v>292.4293212890625</v>
      </c>
      <c r="E215" s="3">
        <v>262.4293212890625</v>
      </c>
      <c r="F215" s="3">
        <v>322.4293212890625</v>
      </c>
      <c r="G215" t="s">
        <v>3</v>
      </c>
      <c r="H215" s="8">
        <f t="shared" si="12"/>
        <v>0.11580174484532402</v>
      </c>
      <c r="I215" s="13">
        <v>286.35903930664063</v>
      </c>
      <c r="J215" s="8">
        <f t="shared" si="13"/>
        <v>9.26398019942027E-2</v>
      </c>
      <c r="K215" s="13">
        <v>285.58480834960938</v>
      </c>
      <c r="L215" s="8">
        <f t="shared" si="14"/>
        <v>8.9685624044602383E-2</v>
      </c>
      <c r="M215" s="3">
        <v>281.42974853515619</v>
      </c>
      <c r="N215" s="8">
        <f t="shared" si="15"/>
        <v>6.8755164071573047E-2</v>
      </c>
    </row>
    <row r="216" spans="1:14" x14ac:dyDescent="0.25">
      <c r="A216" s="19" t="s">
        <v>21</v>
      </c>
      <c r="B216" s="2">
        <v>43434</v>
      </c>
      <c r="C216" s="3">
        <v>345.25</v>
      </c>
      <c r="D216" s="3">
        <v>307.222900390625</v>
      </c>
      <c r="E216" s="3">
        <v>277.222900390625</v>
      </c>
      <c r="F216" s="3">
        <v>337.222900390625</v>
      </c>
      <c r="G216" t="s">
        <v>3</v>
      </c>
      <c r="H216" s="8">
        <f t="shared" si="12"/>
        <v>0.11014366288015931</v>
      </c>
      <c r="I216" s="13">
        <v>294.738037109375</v>
      </c>
      <c r="J216" s="8">
        <f t="shared" si="13"/>
        <v>0.14630546818428675</v>
      </c>
      <c r="K216" s="13">
        <v>299.03494262695313</v>
      </c>
      <c r="L216" s="8">
        <f t="shared" si="14"/>
        <v>0.13385968826371289</v>
      </c>
      <c r="M216" s="3">
        <v>310.48660278320313</v>
      </c>
      <c r="N216" s="8">
        <f t="shared" si="15"/>
        <v>0.11196424227382967</v>
      </c>
    </row>
    <row r="217" spans="1:14" x14ac:dyDescent="0.25">
      <c r="A217" s="19" t="s">
        <v>21</v>
      </c>
      <c r="B217" s="2">
        <v>43465</v>
      </c>
      <c r="C217" s="3">
        <v>246.64</v>
      </c>
      <c r="D217" s="3">
        <v>322.08529663085938</v>
      </c>
      <c r="E217" s="3">
        <v>292.08529663085938</v>
      </c>
      <c r="F217" s="3">
        <v>352.08529663085938</v>
      </c>
      <c r="G217" t="s">
        <v>3</v>
      </c>
      <c r="H217" s="8">
        <f t="shared" si="12"/>
        <v>0.30589238011214481</v>
      </c>
      <c r="I217" s="13">
        <v>294.86203002929688</v>
      </c>
      <c r="J217" s="8">
        <f t="shared" si="13"/>
        <v>0.19551585318398026</v>
      </c>
      <c r="K217" s="13">
        <v>297.04598999023438</v>
      </c>
      <c r="L217" s="8">
        <f t="shared" si="14"/>
        <v>0.20437070219848522</v>
      </c>
      <c r="M217" s="3">
        <v>289.617919921875</v>
      </c>
      <c r="N217" s="8">
        <f t="shared" si="15"/>
        <v>0.14839523719205081</v>
      </c>
    </row>
    <row r="218" spans="1:14" x14ac:dyDescent="0.25">
      <c r="A218" s="19" t="s">
        <v>21</v>
      </c>
      <c r="B218" s="2">
        <v>43496</v>
      </c>
      <c r="C218" s="3">
        <v>284.94</v>
      </c>
      <c r="D218" s="3">
        <v>306.91726684570313</v>
      </c>
      <c r="E218" s="3">
        <v>276.91726684570313</v>
      </c>
      <c r="F218" s="3">
        <v>336.91726684570313</v>
      </c>
      <c r="G218" t="s">
        <v>3</v>
      </c>
      <c r="H218" s="8">
        <f t="shared" si="12"/>
        <v>7.7129454782421308E-2</v>
      </c>
      <c r="I218" s="13">
        <v>271.67269897460938</v>
      </c>
      <c r="J218" s="8">
        <f t="shared" si="13"/>
        <v>4.6561735893137585E-2</v>
      </c>
      <c r="K218" s="13">
        <v>284.97183227539063</v>
      </c>
      <c r="L218" s="8">
        <f t="shared" si="14"/>
        <v>1.1171571345064672E-4</v>
      </c>
      <c r="M218" s="3">
        <v>283.57736206054688</v>
      </c>
      <c r="N218" s="8">
        <f t="shared" si="15"/>
        <v>4.8051717864636342E-3</v>
      </c>
    </row>
    <row r="219" spans="1:14" x14ac:dyDescent="0.25">
      <c r="A219" s="19" t="s">
        <v>21</v>
      </c>
      <c r="B219" s="2">
        <v>43524</v>
      </c>
      <c r="C219" s="3">
        <v>344.47</v>
      </c>
      <c r="D219" s="3">
        <v>290.7882080078125</v>
      </c>
      <c r="E219" s="3">
        <v>260.7882080078125</v>
      </c>
      <c r="F219" s="3">
        <v>320.7882080078125</v>
      </c>
      <c r="G219" t="s">
        <v>3</v>
      </c>
      <c r="H219" s="8">
        <f t="shared" si="12"/>
        <v>0.15583880161461819</v>
      </c>
      <c r="I219" s="13">
        <v>260.908935546875</v>
      </c>
      <c r="J219" s="8">
        <f t="shared" si="13"/>
        <v>0.24257864096474299</v>
      </c>
      <c r="K219" s="13">
        <v>286.95339965820313</v>
      </c>
      <c r="L219" s="8">
        <f t="shared" si="14"/>
        <v>0.16697129021916829</v>
      </c>
      <c r="M219" s="3">
        <v>317.30087280273438</v>
      </c>
      <c r="N219" s="8">
        <f t="shared" si="15"/>
        <v>8.5625756264958872E-2</v>
      </c>
    </row>
    <row r="220" spans="1:14" x14ac:dyDescent="0.25">
      <c r="A220" s="19" t="s">
        <v>21</v>
      </c>
      <c r="B220" s="2">
        <v>43555</v>
      </c>
      <c r="C220" s="3">
        <v>374.16</v>
      </c>
      <c r="D220" s="3">
        <v>341.74472045898438</v>
      </c>
      <c r="E220" s="3">
        <v>311.74472045898438</v>
      </c>
      <c r="F220" s="3">
        <v>371.74472045898438</v>
      </c>
      <c r="G220" t="s">
        <v>3</v>
      </c>
      <c r="H220" s="8">
        <f t="shared" si="12"/>
        <v>8.6634807411309731E-2</v>
      </c>
      <c r="I220" s="13">
        <v>318.34222412109381</v>
      </c>
      <c r="J220" s="8">
        <f t="shared" si="13"/>
        <v>0.14918156905844082</v>
      </c>
      <c r="K220" s="13">
        <v>318.21905517578119</v>
      </c>
      <c r="L220" s="8">
        <f t="shared" si="14"/>
        <v>0.14951075696017432</v>
      </c>
      <c r="M220" s="3">
        <v>338.82080078125</v>
      </c>
      <c r="N220" s="8">
        <f t="shared" si="15"/>
        <v>0.10430055987491091</v>
      </c>
    </row>
    <row r="221" spans="1:14" x14ac:dyDescent="0.25">
      <c r="A221" s="19" t="s">
        <v>21</v>
      </c>
      <c r="B221" s="2">
        <v>43585</v>
      </c>
      <c r="C221" s="3">
        <v>367.48</v>
      </c>
      <c r="D221" s="3">
        <v>324.35943603515619</v>
      </c>
      <c r="E221" s="3">
        <v>294.35943603515619</v>
      </c>
      <c r="F221" s="3">
        <v>354.35943603515619</v>
      </c>
      <c r="G221" t="s">
        <v>3</v>
      </c>
      <c r="H221" s="8">
        <f t="shared" si="12"/>
        <v>0.1173412538501247</v>
      </c>
      <c r="I221" s="13">
        <v>337.30807495117188</v>
      </c>
      <c r="J221" s="8">
        <f t="shared" si="13"/>
        <v>8.2104944619647707E-2</v>
      </c>
      <c r="K221" s="13">
        <v>330.63803100585938</v>
      </c>
      <c r="L221" s="8">
        <f t="shared" si="14"/>
        <v>0.10025571185953151</v>
      </c>
      <c r="M221" s="3">
        <v>313.66659545898438</v>
      </c>
      <c r="N221" s="8">
        <f t="shared" si="15"/>
        <v>0.17156243387113368</v>
      </c>
    </row>
    <row r="222" spans="1:14" x14ac:dyDescent="0.25">
      <c r="A222" s="19" t="s">
        <v>21</v>
      </c>
      <c r="B222" s="2">
        <v>43616</v>
      </c>
      <c r="C222" s="3">
        <v>269.87</v>
      </c>
      <c r="D222" s="3">
        <v>266.5177001953125</v>
      </c>
      <c r="E222" s="3">
        <v>236.5177001953125</v>
      </c>
      <c r="F222" s="3">
        <v>296.5177001953125</v>
      </c>
      <c r="G222" t="s">
        <v>3</v>
      </c>
      <c r="H222" s="8">
        <f t="shared" si="12"/>
        <v>1.2421906120307942E-2</v>
      </c>
      <c r="I222" s="13">
        <v>282.5909423828125</v>
      </c>
      <c r="J222" s="8">
        <f t="shared" si="13"/>
        <v>4.7137297153490555E-2</v>
      </c>
      <c r="K222" s="13">
        <v>289.39004516601563</v>
      </c>
      <c r="L222" s="8">
        <f t="shared" si="14"/>
        <v>7.2331289754384034E-2</v>
      </c>
      <c r="M222" s="3">
        <v>266.84378051757813</v>
      </c>
      <c r="N222" s="8">
        <f t="shared" si="15"/>
        <v>1.134079076736259E-2</v>
      </c>
    </row>
    <row r="223" spans="1:14" x14ac:dyDescent="0.25">
      <c r="A223" s="19" t="s">
        <v>21</v>
      </c>
      <c r="B223" s="2">
        <v>43646</v>
      </c>
      <c r="C223" s="3">
        <v>169.7</v>
      </c>
      <c r="D223" s="3">
        <v>163.31221008300781</v>
      </c>
      <c r="E223" s="3">
        <v>133.31221008300781</v>
      </c>
      <c r="F223" s="3">
        <v>193.31221008300781</v>
      </c>
      <c r="G223" t="s">
        <v>3</v>
      </c>
      <c r="H223" s="8">
        <f t="shared" si="12"/>
        <v>3.7641661266895561E-2</v>
      </c>
      <c r="I223" s="13">
        <v>163.8113098144531</v>
      </c>
      <c r="J223" s="8">
        <f t="shared" si="13"/>
        <v>3.4700590368573321E-2</v>
      </c>
      <c r="K223" s="13">
        <v>181.9244384765625</v>
      </c>
      <c r="L223" s="8">
        <f t="shared" si="14"/>
        <v>7.2035583244328294E-2</v>
      </c>
      <c r="M223" s="3">
        <v>185.34675598144531</v>
      </c>
      <c r="N223" s="8">
        <f t="shared" si="15"/>
        <v>8.441882836628492E-2</v>
      </c>
    </row>
    <row r="224" spans="1:14" x14ac:dyDescent="0.25">
      <c r="A224" s="19" t="s">
        <v>21</v>
      </c>
      <c r="B224" s="2">
        <v>43677</v>
      </c>
      <c r="C224" s="3">
        <v>100.99</v>
      </c>
      <c r="D224" s="3">
        <v>136.55140686035159</v>
      </c>
      <c r="E224" s="3">
        <v>106.55140686035159</v>
      </c>
      <c r="F224" s="3">
        <v>166.55140686035159</v>
      </c>
      <c r="G224" t="s">
        <v>3</v>
      </c>
      <c r="H224" s="8">
        <f t="shared" si="12"/>
        <v>0.35212800138975736</v>
      </c>
      <c r="I224" s="13">
        <v>128.2547607421875</v>
      </c>
      <c r="J224" s="8">
        <f t="shared" si="13"/>
        <v>0.26997485634406876</v>
      </c>
      <c r="K224" s="13">
        <v>127.6945037841797</v>
      </c>
      <c r="L224" s="8">
        <f t="shared" si="14"/>
        <v>0.26442720847786622</v>
      </c>
      <c r="M224" s="3">
        <v>135.6777648925781</v>
      </c>
      <c r="N224" s="8">
        <f t="shared" si="15"/>
        <v>0.25566285618016993</v>
      </c>
    </row>
    <row r="225" spans="1:14" x14ac:dyDescent="0.25">
      <c r="A225" s="19" t="s">
        <v>21</v>
      </c>
      <c r="B225" s="2">
        <v>43708</v>
      </c>
      <c r="C225" s="3">
        <v>57.14</v>
      </c>
      <c r="D225" s="3">
        <v>119.3173065185547</v>
      </c>
      <c r="E225" s="3">
        <v>89.317306518554702</v>
      </c>
      <c r="F225" s="3">
        <v>149.31730651855469</v>
      </c>
      <c r="G225" t="s">
        <v>3</v>
      </c>
      <c r="H225" s="8">
        <f t="shared" si="12"/>
        <v>1.0881572719383041</v>
      </c>
      <c r="I225" s="13">
        <v>123.65407562255859</v>
      </c>
      <c r="J225" s="8">
        <f t="shared" si="13"/>
        <v>1.1640545261210815</v>
      </c>
      <c r="K225" s="13">
        <v>125.8473587036133</v>
      </c>
      <c r="L225" s="8">
        <f t="shared" si="14"/>
        <v>1.2024388992581956</v>
      </c>
      <c r="M225" s="3">
        <v>122.5780563354492</v>
      </c>
      <c r="N225" s="8">
        <f t="shared" si="15"/>
        <v>0.53384804990193591</v>
      </c>
    </row>
    <row r="226" spans="1:14" x14ac:dyDescent="0.25">
      <c r="A226" s="19" t="s">
        <v>21</v>
      </c>
      <c r="B226" s="2">
        <v>43738</v>
      </c>
      <c r="C226" s="3">
        <v>162.28</v>
      </c>
      <c r="D226" s="3">
        <v>171.48193359375</v>
      </c>
      <c r="E226" s="3">
        <v>141.48193359375</v>
      </c>
      <c r="F226" s="3">
        <v>201.48193359375</v>
      </c>
      <c r="G226" t="s">
        <v>3</v>
      </c>
      <c r="H226" s="8">
        <f t="shared" si="12"/>
        <v>5.670405221684742E-2</v>
      </c>
      <c r="I226" s="13">
        <v>184.7702941894531</v>
      </c>
      <c r="J226" s="8">
        <f t="shared" si="13"/>
        <v>0.13858943917582631</v>
      </c>
      <c r="K226" s="13">
        <v>191.3372497558594</v>
      </c>
      <c r="L226" s="8">
        <f t="shared" si="14"/>
        <v>0.17905625927938995</v>
      </c>
      <c r="M226" s="3">
        <v>171.8419189453125</v>
      </c>
      <c r="N226" s="8">
        <f t="shared" si="15"/>
        <v>5.564369278461976E-2</v>
      </c>
    </row>
    <row r="227" spans="1:14" x14ac:dyDescent="0.25">
      <c r="A227" s="19" t="s">
        <v>21</v>
      </c>
      <c r="B227" s="2">
        <v>43769</v>
      </c>
      <c r="C227" s="3">
        <v>306.8</v>
      </c>
      <c r="D227" s="3">
        <v>282.54931640625</v>
      </c>
      <c r="E227" s="3">
        <v>252.54931640625</v>
      </c>
      <c r="F227" s="3">
        <v>312.54931640625</v>
      </c>
      <c r="G227" t="s">
        <v>3</v>
      </c>
      <c r="H227" s="8">
        <f t="shared" si="12"/>
        <v>7.9043949132170832E-2</v>
      </c>
      <c r="I227" s="13">
        <v>285.23025512695313</v>
      </c>
      <c r="J227" s="8">
        <f t="shared" si="13"/>
        <v>7.030555695256481E-2</v>
      </c>
      <c r="K227" s="13">
        <v>285.7279052734375</v>
      </c>
      <c r="L227" s="8">
        <f t="shared" si="14"/>
        <v>6.868348998227676E-2</v>
      </c>
      <c r="M227" s="3">
        <v>287.90765380859381</v>
      </c>
      <c r="N227" s="8">
        <f t="shared" si="15"/>
        <v>6.5619464927341511E-2</v>
      </c>
    </row>
    <row r="228" spans="1:14" x14ac:dyDescent="0.25">
      <c r="A228" s="19" t="s">
        <v>21</v>
      </c>
      <c r="B228" s="2">
        <v>43799</v>
      </c>
      <c r="C228" s="3">
        <v>316.56</v>
      </c>
      <c r="D228" s="3">
        <v>290.01312255859381</v>
      </c>
      <c r="E228" s="3">
        <v>260.01312255859381</v>
      </c>
      <c r="F228" s="3">
        <v>320.01312255859381</v>
      </c>
      <c r="G228" t="s">
        <v>3</v>
      </c>
      <c r="H228" s="8">
        <f t="shared" si="12"/>
        <v>8.3860492296582628E-2</v>
      </c>
      <c r="I228" s="13">
        <v>303.72000122070313</v>
      </c>
      <c r="J228" s="8">
        <f t="shared" si="13"/>
        <v>4.0561027228003782E-2</v>
      </c>
      <c r="K228" s="13">
        <v>300.41647338867188</v>
      </c>
      <c r="L228" s="8">
        <f t="shared" si="14"/>
        <v>5.0996735567753748E-2</v>
      </c>
      <c r="M228" s="3">
        <v>313.53045654296881</v>
      </c>
      <c r="N228" s="8">
        <f t="shared" si="15"/>
        <v>9.6626767633210837E-3</v>
      </c>
    </row>
    <row r="229" spans="1:14" x14ac:dyDescent="0.25">
      <c r="A229" s="19" t="s">
        <v>21</v>
      </c>
      <c r="B229" s="2">
        <v>43830</v>
      </c>
      <c r="C229" s="3">
        <v>296.8</v>
      </c>
      <c r="D229" s="3">
        <v>294.89682006835938</v>
      </c>
      <c r="E229" s="3">
        <v>264.89682006835938</v>
      </c>
      <c r="F229" s="3">
        <v>324.89682006835938</v>
      </c>
      <c r="G229" t="s">
        <v>3</v>
      </c>
      <c r="H229" s="8">
        <f t="shared" si="12"/>
        <v>6.4123313060668336E-3</v>
      </c>
      <c r="I229" s="13">
        <v>303.40255737304688</v>
      </c>
      <c r="J229" s="8">
        <f t="shared" si="13"/>
        <v>2.2245813251505604E-2</v>
      </c>
      <c r="K229" s="13">
        <v>296.20681762695313</v>
      </c>
      <c r="L229" s="8">
        <f t="shared" si="14"/>
        <v>1.9985929011013693E-3</v>
      </c>
      <c r="M229" s="3">
        <v>315.8419189453125</v>
      </c>
      <c r="N229" s="8">
        <f t="shared" si="15"/>
        <v>6.0289397331737861E-2</v>
      </c>
    </row>
    <row r="230" spans="1:14" x14ac:dyDescent="0.25">
      <c r="A230" s="19" t="s">
        <v>21</v>
      </c>
      <c r="B230" s="2">
        <v>43861</v>
      </c>
      <c r="C230" s="3">
        <v>256.76</v>
      </c>
      <c r="D230" s="3">
        <v>286.97164916992188</v>
      </c>
      <c r="E230" s="3">
        <v>256.97164916992188</v>
      </c>
      <c r="F230" s="3">
        <v>316.97164916992188</v>
      </c>
      <c r="G230" t="s">
        <v>3</v>
      </c>
      <c r="H230" s="8">
        <f t="shared" si="12"/>
        <v>0.11766493678891528</v>
      </c>
      <c r="I230" s="13">
        <v>266.64645385742188</v>
      </c>
      <c r="J230" s="8">
        <f t="shared" si="13"/>
        <v>3.8504649701752158E-2</v>
      </c>
      <c r="K230" s="13">
        <v>286.51004028320313</v>
      </c>
      <c r="L230" s="8">
        <f t="shared" si="14"/>
        <v>0.11586711436050449</v>
      </c>
      <c r="M230" s="3">
        <v>272.66366577148438</v>
      </c>
      <c r="N230" s="8">
        <f t="shared" si="15"/>
        <v>5.8327044516496104E-2</v>
      </c>
    </row>
    <row r="231" spans="1:14" x14ac:dyDescent="0.25">
      <c r="A231" s="19" t="s">
        <v>21</v>
      </c>
      <c r="B231" s="2">
        <v>43890</v>
      </c>
      <c r="C231" s="3">
        <v>246.63</v>
      </c>
      <c r="D231" s="3">
        <v>294.88006591796881</v>
      </c>
      <c r="E231" s="3">
        <v>264.88006591796881</v>
      </c>
      <c r="F231" s="3">
        <v>324.88006591796881</v>
      </c>
      <c r="G231" t="s">
        <v>3</v>
      </c>
      <c r="H231" s="8">
        <f t="shared" si="12"/>
        <v>0.19563745658666348</v>
      </c>
      <c r="I231" s="13">
        <v>243.17121887207031</v>
      </c>
      <c r="J231" s="8">
        <f t="shared" si="13"/>
        <v>1.4024170327736622E-2</v>
      </c>
      <c r="K231" s="13">
        <v>289.087646484375</v>
      </c>
      <c r="L231" s="8">
        <f t="shared" si="14"/>
        <v>0.17215118389642381</v>
      </c>
      <c r="M231" s="3">
        <v>253.5603942871094</v>
      </c>
      <c r="N231" s="8">
        <f t="shared" si="15"/>
        <v>2.7332321779173611E-2</v>
      </c>
    </row>
    <row r="232" spans="1:14" x14ac:dyDescent="0.25">
      <c r="A232" s="19" t="s">
        <v>21</v>
      </c>
      <c r="B232" s="2">
        <v>43921</v>
      </c>
      <c r="C232" s="3">
        <v>311.95999999999998</v>
      </c>
      <c r="D232" s="3">
        <v>318.82321166992188</v>
      </c>
      <c r="E232" s="3">
        <v>288.82321166992188</v>
      </c>
      <c r="F232" s="3">
        <v>348.82321166992188</v>
      </c>
      <c r="G232" t="s">
        <v>3</v>
      </c>
      <c r="H232" s="8">
        <f t="shared" si="12"/>
        <v>2.2000293851525504E-2</v>
      </c>
      <c r="I232" s="13">
        <v>364.70425415039063</v>
      </c>
      <c r="J232" s="8">
        <f t="shared" si="13"/>
        <v>0.16907377276058036</v>
      </c>
      <c r="K232" s="13">
        <v>317.2989501953125</v>
      </c>
      <c r="L232" s="8">
        <f t="shared" si="14"/>
        <v>1.7114213986769204E-2</v>
      </c>
      <c r="M232" s="3">
        <v>324.61944580078119</v>
      </c>
      <c r="N232" s="8">
        <f t="shared" si="15"/>
        <v>3.899780485901732E-2</v>
      </c>
    </row>
    <row r="233" spans="1:14" x14ac:dyDescent="0.25">
      <c r="A233" s="19" t="s">
        <v>21</v>
      </c>
      <c r="B233" s="2">
        <v>43951</v>
      </c>
      <c r="C233" s="3">
        <v>368.74</v>
      </c>
      <c r="D233" s="3">
        <v>301.34893798828119</v>
      </c>
      <c r="E233" s="3">
        <v>271.34893798828119</v>
      </c>
      <c r="F233" s="3">
        <v>331.34893798828119</v>
      </c>
      <c r="G233" t="s">
        <v>3</v>
      </c>
      <c r="H233" s="8">
        <f t="shared" si="12"/>
        <v>0.18276037861831865</v>
      </c>
      <c r="I233" s="13">
        <v>323.26675415039063</v>
      </c>
      <c r="J233" s="8">
        <f t="shared" si="13"/>
        <v>0.12332062116832831</v>
      </c>
      <c r="K233" s="13">
        <v>325.15628051757813</v>
      </c>
      <c r="L233" s="8">
        <f t="shared" si="14"/>
        <v>0.11819634290400251</v>
      </c>
      <c r="M233" s="3">
        <v>329.1673583984375</v>
      </c>
      <c r="N233" s="8">
        <f t="shared" si="15"/>
        <v>0.12022043070765899</v>
      </c>
    </row>
    <row r="234" spans="1:14" x14ac:dyDescent="0.25">
      <c r="A234" s="19" t="s">
        <v>21</v>
      </c>
      <c r="B234" s="2">
        <v>43982</v>
      </c>
      <c r="C234" s="3">
        <v>244.04</v>
      </c>
      <c r="D234" s="3">
        <v>271.21749877929688</v>
      </c>
      <c r="E234" s="3">
        <v>241.21749877929688</v>
      </c>
      <c r="F234" s="3">
        <v>301.21749877929688</v>
      </c>
      <c r="G234" t="s">
        <v>3</v>
      </c>
      <c r="H234" s="8">
        <f t="shared" si="12"/>
        <v>0.11136493517168039</v>
      </c>
      <c r="I234" s="13">
        <v>251.60223388671881</v>
      </c>
      <c r="J234" s="8">
        <f t="shared" si="13"/>
        <v>3.0987681882965148E-2</v>
      </c>
      <c r="K234" s="13">
        <v>264.32882690429688</v>
      </c>
      <c r="L234" s="8">
        <f t="shared" si="14"/>
        <v>8.3137300869926586E-2</v>
      </c>
      <c r="M234" s="3">
        <v>253.80390930175781</v>
      </c>
      <c r="N234" s="8">
        <f t="shared" si="15"/>
        <v>3.8470287272640513E-2</v>
      </c>
    </row>
    <row r="235" spans="1:14" x14ac:dyDescent="0.25">
      <c r="A235" s="19" t="s">
        <v>21</v>
      </c>
      <c r="B235" s="2">
        <v>44012</v>
      </c>
      <c r="C235" s="3">
        <v>153.22</v>
      </c>
      <c r="D235" s="3">
        <v>152.148681640625</v>
      </c>
      <c r="E235" s="3">
        <v>122.148681640625</v>
      </c>
      <c r="F235" s="3">
        <v>182.148681640625</v>
      </c>
      <c r="G235" t="s">
        <v>3</v>
      </c>
      <c r="H235" s="8">
        <f t="shared" si="12"/>
        <v>6.9920268853609115E-3</v>
      </c>
      <c r="I235" s="13">
        <v>147.64411926269531</v>
      </c>
      <c r="J235" s="8">
        <f t="shared" si="13"/>
        <v>3.639133753625301E-2</v>
      </c>
      <c r="K235" s="13">
        <v>154.73854064941409</v>
      </c>
      <c r="L235" s="8">
        <f t="shared" si="14"/>
        <v>9.910851386333977E-3</v>
      </c>
      <c r="M235" s="3">
        <v>137.921142578125</v>
      </c>
      <c r="N235" s="8">
        <f t="shared" si="15"/>
        <v>0.11092467141655971</v>
      </c>
    </row>
    <row r="236" spans="1:14" x14ac:dyDescent="0.25">
      <c r="A236" s="19" t="s">
        <v>21</v>
      </c>
      <c r="B236" s="2">
        <v>44043</v>
      </c>
      <c r="C236" s="3">
        <v>216.5</v>
      </c>
      <c r="D236" s="3">
        <v>121.673713684082</v>
      </c>
      <c r="E236" s="3">
        <v>91.673713684082003</v>
      </c>
      <c r="F236" s="3">
        <v>151.673713684082</v>
      </c>
      <c r="G236" t="s">
        <v>3</v>
      </c>
      <c r="H236" s="8">
        <f t="shared" si="12"/>
        <v>0.43799670353772746</v>
      </c>
      <c r="I236" s="13">
        <v>118.094482421875</v>
      </c>
      <c r="J236" s="8">
        <f t="shared" si="13"/>
        <v>0.45452894955254042</v>
      </c>
      <c r="K236" s="13">
        <v>111.56272888183589</v>
      </c>
      <c r="L236" s="8">
        <f t="shared" si="14"/>
        <v>0.48469871186218988</v>
      </c>
      <c r="M236" s="3">
        <v>156.63385009765619</v>
      </c>
      <c r="N236" s="8">
        <f t="shared" si="15"/>
        <v>0.38220442046862269</v>
      </c>
    </row>
    <row r="237" spans="1:14" x14ac:dyDescent="0.25">
      <c r="A237" s="19" t="s">
        <v>21</v>
      </c>
      <c r="B237" s="2">
        <v>44074</v>
      </c>
      <c r="C237" s="3">
        <v>187.81</v>
      </c>
      <c r="D237" s="3">
        <v>133.23774719238281</v>
      </c>
      <c r="E237" s="3">
        <v>103.23774719238281</v>
      </c>
      <c r="F237" s="3">
        <v>163.23774719238281</v>
      </c>
      <c r="G237" t="s">
        <v>3</v>
      </c>
      <c r="H237" s="8">
        <f t="shared" si="12"/>
        <v>0.29057160325657416</v>
      </c>
      <c r="I237" s="13">
        <v>118.7421875</v>
      </c>
      <c r="J237" s="8">
        <f t="shared" si="13"/>
        <v>0.36775364730312549</v>
      </c>
      <c r="K237" s="13">
        <v>118.92442321777339</v>
      </c>
      <c r="L237" s="8">
        <f t="shared" si="14"/>
        <v>0.36678332773668393</v>
      </c>
      <c r="M237" s="3">
        <v>142.36567687988281</v>
      </c>
      <c r="N237" s="8">
        <f t="shared" si="15"/>
        <v>0.31920842239565655</v>
      </c>
    </row>
    <row r="238" spans="1:14" x14ac:dyDescent="0.25">
      <c r="A238" s="19" t="s">
        <v>21</v>
      </c>
      <c r="B238" s="2">
        <v>44104</v>
      </c>
      <c r="C238" s="3">
        <v>222.37</v>
      </c>
      <c r="D238" s="3">
        <v>194.87544250488281</v>
      </c>
      <c r="E238" s="3">
        <v>164.87544250488281</v>
      </c>
      <c r="F238" s="3">
        <v>224.87544250488281</v>
      </c>
      <c r="G238" t="s">
        <v>3</v>
      </c>
      <c r="H238" s="8">
        <f t="shared" si="12"/>
        <v>0.12364328594287535</v>
      </c>
      <c r="I238" s="13">
        <v>196.69856262207031</v>
      </c>
      <c r="J238" s="8">
        <f t="shared" si="13"/>
        <v>0.11544469747686149</v>
      </c>
      <c r="K238" s="13">
        <v>191.7059326171875</v>
      </c>
      <c r="L238" s="8">
        <f t="shared" si="14"/>
        <v>0.13789660198233802</v>
      </c>
      <c r="M238" s="3">
        <v>193.28521728515619</v>
      </c>
      <c r="N238" s="8">
        <f t="shared" si="15"/>
        <v>0.15047598116070435</v>
      </c>
    </row>
    <row r="239" spans="1:14" x14ac:dyDescent="0.25">
      <c r="A239" s="19" t="s">
        <v>21</v>
      </c>
      <c r="B239" s="2">
        <v>44135</v>
      </c>
      <c r="C239" s="3">
        <v>192</v>
      </c>
      <c r="D239" s="3">
        <v>259.65771484375</v>
      </c>
      <c r="E239" s="3">
        <v>229.65771484375</v>
      </c>
      <c r="F239" s="3">
        <v>289.65771484375</v>
      </c>
      <c r="G239" t="s">
        <v>3</v>
      </c>
      <c r="H239" s="8">
        <f t="shared" si="12"/>
        <v>0.35238393147786456</v>
      </c>
      <c r="I239" s="13">
        <v>260.389892578125</v>
      </c>
      <c r="J239" s="8">
        <f t="shared" si="13"/>
        <v>0.35619735717773438</v>
      </c>
      <c r="K239" s="13">
        <v>289.2926025390625</v>
      </c>
      <c r="L239" s="8">
        <f t="shared" si="14"/>
        <v>0.50673230489095056</v>
      </c>
      <c r="M239" s="3">
        <v>260.73486328125</v>
      </c>
      <c r="N239" s="8">
        <f t="shared" si="15"/>
        <v>0.2636197646001292</v>
      </c>
    </row>
    <row r="240" spans="1:14" x14ac:dyDescent="0.25">
      <c r="A240" s="19" t="s">
        <v>21</v>
      </c>
      <c r="B240" s="2">
        <v>44165</v>
      </c>
      <c r="C240" s="3">
        <v>255.8</v>
      </c>
      <c r="D240" s="3">
        <v>285.89984130859381</v>
      </c>
      <c r="E240" s="3">
        <v>255.89984130859381</v>
      </c>
      <c r="F240" s="3">
        <v>315.89984130859381</v>
      </c>
      <c r="G240" t="s">
        <v>3</v>
      </c>
      <c r="H240" s="8">
        <f t="shared" si="12"/>
        <v>0.11766943435728613</v>
      </c>
      <c r="I240" s="13">
        <v>300.0322265625</v>
      </c>
      <c r="J240" s="8">
        <f t="shared" si="13"/>
        <v>0.17291722659304137</v>
      </c>
      <c r="K240" s="13">
        <v>310.27923583984381</v>
      </c>
      <c r="L240" s="8">
        <f t="shared" si="14"/>
        <v>0.21297590242315792</v>
      </c>
      <c r="M240" s="3">
        <v>288.91876220703119</v>
      </c>
      <c r="N240" s="8">
        <f t="shared" si="15"/>
        <v>0.11463001555883447</v>
      </c>
    </row>
    <row r="241" spans="1:14" x14ac:dyDescent="0.25">
      <c r="A241" s="19" t="s">
        <v>21</v>
      </c>
      <c r="B241" s="2">
        <v>44196</v>
      </c>
      <c r="C241" s="3">
        <v>413.33</v>
      </c>
      <c r="D241" s="3">
        <v>323.38784790039063</v>
      </c>
      <c r="E241" s="3">
        <v>293.38784790039063</v>
      </c>
      <c r="F241" s="3">
        <v>353.38784790039063</v>
      </c>
      <c r="G241" t="s">
        <v>3</v>
      </c>
      <c r="H241" s="8">
        <f t="shared" si="12"/>
        <v>0.21760373575498843</v>
      </c>
      <c r="I241" s="13">
        <v>367.11080932617188</v>
      </c>
      <c r="J241" s="8">
        <f t="shared" si="13"/>
        <v>0.11182152438445821</v>
      </c>
      <c r="K241" s="13">
        <v>309.148681640625</v>
      </c>
      <c r="L241" s="8">
        <f t="shared" si="14"/>
        <v>0.25205360936630533</v>
      </c>
      <c r="M241" s="3">
        <v>336.15277099609381</v>
      </c>
      <c r="N241" s="8">
        <f t="shared" si="15"/>
        <v>0.22958974508885724</v>
      </c>
    </row>
    <row r="242" spans="1:14" x14ac:dyDescent="0.25">
      <c r="A242" s="19" t="s">
        <v>21</v>
      </c>
      <c r="B242" s="2">
        <v>44227</v>
      </c>
      <c r="C242" s="3">
        <v>365.72</v>
      </c>
      <c r="D242" s="3">
        <v>292.79986572265619</v>
      </c>
      <c r="E242" s="3">
        <v>262.79986572265619</v>
      </c>
      <c r="F242" s="3">
        <v>322.79986572265619</v>
      </c>
      <c r="G242" t="s">
        <v>3</v>
      </c>
      <c r="H242" s="8">
        <f t="shared" si="12"/>
        <v>0.19938787672903813</v>
      </c>
      <c r="I242" s="13">
        <v>370.59127807617188</v>
      </c>
      <c r="J242" s="8">
        <f t="shared" si="13"/>
        <v>1.3319692869331311E-2</v>
      </c>
      <c r="K242" s="13">
        <v>300.41680908203119</v>
      </c>
      <c r="L242" s="8">
        <f t="shared" si="14"/>
        <v>0.17856062265659201</v>
      </c>
      <c r="M242" s="3">
        <v>330.68051147460938</v>
      </c>
      <c r="N242" s="8">
        <f t="shared" si="15"/>
        <v>0.10596175858425538</v>
      </c>
    </row>
    <row r="243" spans="1:14" x14ac:dyDescent="0.25">
      <c r="A243" s="19" t="s">
        <v>21</v>
      </c>
      <c r="B243" s="2">
        <v>44255</v>
      </c>
      <c r="C243" s="3">
        <v>269.91000000000003</v>
      </c>
      <c r="D243" s="3">
        <v>267.26885986328119</v>
      </c>
      <c r="E243" s="3">
        <v>237.26885986328119</v>
      </c>
      <c r="F243" s="3">
        <v>297.26885986328119</v>
      </c>
      <c r="G243" t="s">
        <v>3</v>
      </c>
      <c r="H243" s="8">
        <f t="shared" si="12"/>
        <v>9.7852622604528601E-3</v>
      </c>
      <c r="I243" s="13">
        <v>332.75653076171881</v>
      </c>
      <c r="J243" s="8">
        <f t="shared" si="13"/>
        <v>0.2328425429280826</v>
      </c>
      <c r="K243" s="13">
        <v>299.05477905273438</v>
      </c>
      <c r="L243" s="8">
        <f t="shared" si="14"/>
        <v>0.10797961932768088</v>
      </c>
      <c r="M243" s="3">
        <v>302.06033325195313</v>
      </c>
      <c r="N243" s="8">
        <f t="shared" si="15"/>
        <v>0.10643679329167666</v>
      </c>
    </row>
    <row r="244" spans="1:14" x14ac:dyDescent="0.25">
      <c r="A244" s="19" t="s">
        <v>21</v>
      </c>
      <c r="B244" s="2">
        <v>44286</v>
      </c>
      <c r="C244" s="3">
        <v>343.23</v>
      </c>
      <c r="D244" s="3">
        <v>359.4481201171875</v>
      </c>
      <c r="E244" s="3">
        <v>329.4481201171875</v>
      </c>
      <c r="F244" s="3">
        <v>389.4481201171875</v>
      </c>
      <c r="G244" t="s">
        <v>3</v>
      </c>
      <c r="H244" s="8">
        <f t="shared" si="12"/>
        <v>4.725146437428978E-2</v>
      </c>
      <c r="I244" s="13">
        <v>287.97479248046881</v>
      </c>
      <c r="J244" s="8">
        <f t="shared" si="13"/>
        <v>0.16098594971165461</v>
      </c>
      <c r="K244" s="13">
        <v>325.907470703125</v>
      </c>
      <c r="L244" s="8">
        <f t="shared" si="14"/>
        <v>5.0469158572604429E-2</v>
      </c>
      <c r="M244" s="3">
        <v>318.09683227539063</v>
      </c>
      <c r="N244" s="8">
        <f t="shared" si="15"/>
        <v>7.9011059446359055E-2</v>
      </c>
    </row>
    <row r="245" spans="1:14" x14ac:dyDescent="0.25">
      <c r="A245" s="19" t="s">
        <v>21</v>
      </c>
      <c r="B245" s="2">
        <v>44316</v>
      </c>
      <c r="C245" s="3">
        <v>398.65</v>
      </c>
      <c r="D245" s="3">
        <v>365.49819946289063</v>
      </c>
      <c r="E245" s="3">
        <v>305.49819946289063</v>
      </c>
      <c r="F245" s="3">
        <v>365.49819946289063</v>
      </c>
      <c r="G245" t="s">
        <v>3</v>
      </c>
      <c r="H245" s="8">
        <f t="shared" si="12"/>
        <v>8.3160166906081412E-2</v>
      </c>
      <c r="I245" s="13">
        <v>341.32559204101563</v>
      </c>
      <c r="J245" s="8">
        <f t="shared" si="13"/>
        <v>0.14379633251971494</v>
      </c>
      <c r="K245" s="13">
        <v>336.22409057617188</v>
      </c>
      <c r="L245" s="8">
        <f t="shared" si="14"/>
        <v>0.15659327586561672</v>
      </c>
      <c r="M245" s="3">
        <v>348.69488525390619</v>
      </c>
      <c r="N245" s="8">
        <f t="shared" si="15"/>
        <v>0.14326311299266231</v>
      </c>
    </row>
    <row r="246" spans="1:14" x14ac:dyDescent="0.25">
      <c r="A246" s="19" t="s">
        <v>21</v>
      </c>
      <c r="B246" s="2">
        <v>44347</v>
      </c>
      <c r="C246" s="3">
        <v>303.79000000000002</v>
      </c>
      <c r="D246" s="3">
        <v>307.52096557617188</v>
      </c>
      <c r="E246" s="3">
        <v>247.52096557617188</v>
      </c>
      <c r="F246" s="3">
        <v>307.52096557617188</v>
      </c>
      <c r="G246" t="s">
        <v>3</v>
      </c>
      <c r="H246" s="8">
        <f t="shared" ref="H246:H299" si="16">IFERROR(ABS((C246-D246)/C246),0)</f>
        <v>1.2281396939240444E-2</v>
      </c>
      <c r="I246" s="13">
        <v>292.83795166015619</v>
      </c>
      <c r="J246" s="8">
        <f t="shared" si="13"/>
        <v>3.605137871504601E-2</v>
      </c>
      <c r="K246" s="13">
        <v>302.4473876953125</v>
      </c>
      <c r="L246" s="8">
        <f t="shared" si="14"/>
        <v>4.4195408166414971E-3</v>
      </c>
      <c r="M246" s="3">
        <v>278.7103271484375</v>
      </c>
      <c r="N246" s="8">
        <f t="shared" si="15"/>
        <v>8.9984727541887646E-2</v>
      </c>
    </row>
    <row r="247" spans="1:14" x14ac:dyDescent="0.25">
      <c r="A247" s="19" t="s">
        <v>21</v>
      </c>
      <c r="B247" s="2">
        <v>44377</v>
      </c>
      <c r="C247" s="3">
        <v>236.64</v>
      </c>
      <c r="D247" s="3">
        <v>197.19078063964841</v>
      </c>
      <c r="E247" s="3">
        <v>137.19078063964841</v>
      </c>
      <c r="F247" s="3">
        <v>197.19078063964841</v>
      </c>
      <c r="G247" t="s">
        <v>3</v>
      </c>
      <c r="H247" s="8">
        <f t="shared" si="16"/>
        <v>0.16670562610020107</v>
      </c>
      <c r="I247" s="13">
        <v>197.49017333984381</v>
      </c>
      <c r="J247" s="8">
        <f t="shared" si="13"/>
        <v>0.16544044396617724</v>
      </c>
      <c r="K247" s="13">
        <v>207.53765869140619</v>
      </c>
      <c r="L247" s="8">
        <f t="shared" si="14"/>
        <v>0.1229814964021036</v>
      </c>
      <c r="M247" s="3">
        <v>195.05882263183591</v>
      </c>
      <c r="N247" s="8">
        <f t="shared" si="15"/>
        <v>0.2131725025668105</v>
      </c>
    </row>
    <row r="248" spans="1:14" x14ac:dyDescent="0.25">
      <c r="A248" s="19" t="s">
        <v>21</v>
      </c>
      <c r="B248" s="2">
        <v>44408</v>
      </c>
      <c r="C248" s="3">
        <v>133.19</v>
      </c>
      <c r="D248" s="3">
        <v>140.23393249511719</v>
      </c>
      <c r="E248" s="3">
        <v>110.23393249511719</v>
      </c>
      <c r="F248" s="3">
        <v>170.23393249511719</v>
      </c>
      <c r="G248" t="s">
        <v>3</v>
      </c>
      <c r="H248" s="8">
        <f t="shared" si="16"/>
        <v>5.2886346535905022E-2</v>
      </c>
      <c r="I248" s="13">
        <v>153.0429992675781</v>
      </c>
      <c r="J248" s="8">
        <f t="shared" si="13"/>
        <v>0.14905773156827162</v>
      </c>
      <c r="K248" s="13">
        <v>146.61158752441409</v>
      </c>
      <c r="L248" s="8">
        <f t="shared" si="14"/>
        <v>0.10077023443512347</v>
      </c>
      <c r="M248" s="3">
        <v>154.450927734375</v>
      </c>
      <c r="N248" s="8">
        <f t="shared" si="15"/>
        <v>0.13765490467586952</v>
      </c>
    </row>
    <row r="249" spans="1:14" x14ac:dyDescent="0.25">
      <c r="A249" s="19" t="s">
        <v>21</v>
      </c>
      <c r="B249" s="2">
        <v>44439</v>
      </c>
      <c r="C249" s="3">
        <v>182.45</v>
      </c>
      <c r="D249" s="3">
        <v>171.321044921875</v>
      </c>
      <c r="E249" s="3">
        <v>111.321044921875</v>
      </c>
      <c r="F249" s="3">
        <v>171.321044921875</v>
      </c>
      <c r="G249" t="s">
        <v>3</v>
      </c>
      <c r="H249" s="8">
        <f t="shared" si="16"/>
        <v>6.0997287356124905E-2</v>
      </c>
      <c r="I249" s="13">
        <v>157.48939514160159</v>
      </c>
      <c r="J249" s="8">
        <f t="shared" si="13"/>
        <v>0.13680791920196436</v>
      </c>
      <c r="K249" s="13">
        <v>139.85133361816409</v>
      </c>
      <c r="L249" s="8">
        <f t="shared" si="14"/>
        <v>0.2334813175217095</v>
      </c>
      <c r="M249" s="3">
        <v>138.16447448730469</v>
      </c>
      <c r="N249" s="8">
        <f t="shared" si="15"/>
        <v>0.32052758624840644</v>
      </c>
    </row>
    <row r="250" spans="1:14" x14ac:dyDescent="0.25">
      <c r="A250" s="19" t="s">
        <v>21</v>
      </c>
      <c r="B250" s="2">
        <v>44469</v>
      </c>
      <c r="C250" s="3">
        <v>226.57</v>
      </c>
      <c r="D250" s="3">
        <v>231.59800720214841</v>
      </c>
      <c r="E250" s="3">
        <v>171.59800720214841</v>
      </c>
      <c r="F250" s="3">
        <v>231.59800720214841</v>
      </c>
      <c r="G250" t="s">
        <v>3</v>
      </c>
      <c r="H250" s="8">
        <f t="shared" si="16"/>
        <v>2.2191848886209189E-2</v>
      </c>
      <c r="I250" s="13">
        <v>223.07194519042969</v>
      </c>
      <c r="J250" s="8">
        <f t="shared" si="13"/>
        <v>1.5439179103898601E-2</v>
      </c>
      <c r="K250" s="13">
        <v>201.99473571777341</v>
      </c>
      <c r="L250" s="8">
        <f t="shared" si="14"/>
        <v>0.10846654138776796</v>
      </c>
      <c r="M250" s="3">
        <v>204.18840026855469</v>
      </c>
      <c r="N250" s="8">
        <f t="shared" si="15"/>
        <v>0.10961249366765378</v>
      </c>
    </row>
    <row r="251" spans="1:14" x14ac:dyDescent="0.25">
      <c r="A251" s="19" t="s">
        <v>21</v>
      </c>
      <c r="B251" s="2">
        <v>44500</v>
      </c>
      <c r="C251" s="3">
        <v>347.81</v>
      </c>
      <c r="D251" s="3">
        <v>310.92324829101563</v>
      </c>
      <c r="E251" s="3">
        <v>250.92324829101563</v>
      </c>
      <c r="F251" s="3">
        <v>310.92324829101563</v>
      </c>
      <c r="G251" t="s">
        <v>3</v>
      </c>
      <c r="H251" s="8">
        <f t="shared" si="16"/>
        <v>0.1060543161754532</v>
      </c>
      <c r="I251" s="13">
        <v>296.75552368164063</v>
      </c>
      <c r="J251" s="8">
        <f t="shared" si="13"/>
        <v>0.14678840837917073</v>
      </c>
      <c r="K251" s="13">
        <v>292.5904541015625</v>
      </c>
      <c r="L251" s="8">
        <f t="shared" si="14"/>
        <v>0.15876353727160664</v>
      </c>
      <c r="M251" s="3">
        <v>291.01385498046881</v>
      </c>
      <c r="N251" s="8">
        <f t="shared" si="15"/>
        <v>0.19516646388998568</v>
      </c>
    </row>
    <row r="252" spans="1:14" x14ac:dyDescent="0.25">
      <c r="A252" s="19" t="s">
        <v>21</v>
      </c>
      <c r="B252" s="2">
        <v>44530</v>
      </c>
      <c r="C252" s="3">
        <v>383.54</v>
      </c>
      <c r="D252" s="3">
        <v>330.06561279296881</v>
      </c>
      <c r="E252" s="3">
        <v>270.06561279296881</v>
      </c>
      <c r="F252" s="3">
        <v>330.06561279296881</v>
      </c>
      <c r="G252" t="s">
        <v>3</v>
      </c>
      <c r="H252" s="8">
        <f t="shared" si="16"/>
        <v>0.13942323410082705</v>
      </c>
      <c r="I252" s="13">
        <v>327.60281372070313</v>
      </c>
      <c r="J252" s="8">
        <f t="shared" si="13"/>
        <v>0.14584446545157453</v>
      </c>
      <c r="K252" s="13">
        <v>322.7083740234375</v>
      </c>
      <c r="L252" s="8">
        <f t="shared" si="14"/>
        <v>0.15860568904563413</v>
      </c>
      <c r="M252" s="3">
        <v>308.75717163085938</v>
      </c>
      <c r="N252" s="8">
        <f t="shared" si="15"/>
        <v>0.24220596391052807</v>
      </c>
    </row>
    <row r="253" spans="1:14" x14ac:dyDescent="0.25">
      <c r="A253" s="19" t="s">
        <v>21</v>
      </c>
      <c r="B253" s="2">
        <v>44561</v>
      </c>
      <c r="C253" s="3">
        <v>368.85</v>
      </c>
      <c r="D253" s="3">
        <v>356.06350708007813</v>
      </c>
      <c r="E253" s="3">
        <v>296.06350708007813</v>
      </c>
      <c r="F253" s="3">
        <v>356.06350708007813</v>
      </c>
      <c r="G253" t="s">
        <v>3</v>
      </c>
      <c r="H253" s="8">
        <f t="shared" si="16"/>
        <v>3.4665834132904694E-2</v>
      </c>
      <c r="I253" s="13">
        <v>327.47702026367188</v>
      </c>
      <c r="J253" s="8">
        <f t="shared" si="13"/>
        <v>0.11216749284621973</v>
      </c>
      <c r="K253" s="13">
        <v>332.24557495117188</v>
      </c>
      <c r="L253" s="8">
        <f t="shared" si="14"/>
        <v>9.9239325061212275E-2</v>
      </c>
      <c r="M253" s="3">
        <v>335.62454223632813</v>
      </c>
      <c r="N253" s="8">
        <f t="shared" si="15"/>
        <v>9.8995912343848733E-2</v>
      </c>
    </row>
    <row r="254" spans="1:14" x14ac:dyDescent="0.25">
      <c r="A254" s="19" t="s">
        <v>21</v>
      </c>
      <c r="B254" s="2">
        <v>44592</v>
      </c>
      <c r="C254" s="3">
        <v>332</v>
      </c>
      <c r="D254" s="3">
        <v>300.48818969726563</v>
      </c>
      <c r="E254" s="3">
        <v>270.48818969726563</v>
      </c>
      <c r="F254" s="3">
        <v>330.48818969726563</v>
      </c>
      <c r="G254" t="s">
        <v>3</v>
      </c>
      <c r="H254" s="8">
        <f t="shared" si="16"/>
        <v>9.4915091273296309E-2</v>
      </c>
      <c r="I254" s="13">
        <v>354.42694091796881</v>
      </c>
      <c r="J254" s="8">
        <f t="shared" si="13"/>
        <v>6.7551026861351823E-2</v>
      </c>
      <c r="K254" s="13">
        <v>330.49160766601563</v>
      </c>
      <c r="L254" s="8">
        <f t="shared" si="14"/>
        <v>4.5433504035673946E-3</v>
      </c>
      <c r="M254" s="3">
        <v>338.20132446289063</v>
      </c>
      <c r="N254" s="8">
        <f t="shared" si="15"/>
        <v>1.8336192126802476E-2</v>
      </c>
    </row>
    <row r="255" spans="1:14" x14ac:dyDescent="0.25">
      <c r="A255" s="19" t="s">
        <v>21</v>
      </c>
      <c r="B255" s="2">
        <v>44620</v>
      </c>
      <c r="C255" s="3">
        <v>373.83</v>
      </c>
      <c r="D255" s="3">
        <v>297.28866577148438</v>
      </c>
      <c r="E255" s="3">
        <v>267.28866577148438</v>
      </c>
      <c r="F255" s="3">
        <v>327.28866577148438</v>
      </c>
      <c r="G255" t="s">
        <v>3</v>
      </c>
      <c r="H255" s="8">
        <f t="shared" si="16"/>
        <v>0.20474904161922697</v>
      </c>
      <c r="I255" s="13">
        <v>352.9788818359375</v>
      </c>
      <c r="J255" s="8">
        <f t="shared" si="13"/>
        <v>5.577700602964579E-2</v>
      </c>
      <c r="K255" s="13">
        <v>325.4683837890625</v>
      </c>
      <c r="L255" s="8">
        <f t="shared" si="14"/>
        <v>0.12936793786196263</v>
      </c>
      <c r="M255" s="3">
        <v>347.57254028320313</v>
      </c>
      <c r="N255" s="8">
        <f t="shared" si="15"/>
        <v>7.5545265156453975E-2</v>
      </c>
    </row>
    <row r="256" spans="1:14" x14ac:dyDescent="0.25">
      <c r="A256" s="19" t="s">
        <v>21</v>
      </c>
      <c r="B256" s="2">
        <v>44651</v>
      </c>
      <c r="C256" s="3">
        <v>447.33</v>
      </c>
      <c r="D256" s="3">
        <v>366.620849609375</v>
      </c>
      <c r="E256" s="3">
        <v>336.620849609375</v>
      </c>
      <c r="F256" s="3">
        <v>396.620849609375</v>
      </c>
      <c r="G256" t="s">
        <v>3</v>
      </c>
      <c r="H256" s="8">
        <f t="shared" si="16"/>
        <v>0.18042418436193636</v>
      </c>
      <c r="I256" s="13">
        <v>330.75924682617188</v>
      </c>
      <c r="J256" s="8">
        <f t="shared" si="13"/>
        <v>0.2605922991389536</v>
      </c>
      <c r="K256" s="13">
        <v>334.75054931640619</v>
      </c>
      <c r="L256" s="8">
        <f t="shared" si="14"/>
        <v>0.25166979787538013</v>
      </c>
      <c r="M256" s="3">
        <v>376.58169555664063</v>
      </c>
      <c r="N256" s="8">
        <f t="shared" si="15"/>
        <v>0.18786973790317513</v>
      </c>
    </row>
    <row r="257" spans="1:14" x14ac:dyDescent="0.25">
      <c r="A257" s="19" t="s">
        <v>21</v>
      </c>
      <c r="B257" s="2">
        <v>44681</v>
      </c>
      <c r="C257" s="3">
        <v>327.05</v>
      </c>
      <c r="D257" s="3">
        <v>303.31936645507813</v>
      </c>
      <c r="E257" s="3">
        <v>273.31936645507813</v>
      </c>
      <c r="F257" s="3">
        <v>333.31936645507813</v>
      </c>
      <c r="G257" t="s">
        <v>3</v>
      </c>
      <c r="H257" s="8">
        <f t="shared" si="16"/>
        <v>7.2559650037981607E-2</v>
      </c>
      <c r="I257" s="13">
        <v>316.25994873046881</v>
      </c>
      <c r="J257" s="8">
        <f t="shared" si="13"/>
        <v>3.2992054027002608E-2</v>
      </c>
      <c r="K257" s="13">
        <v>347.35079956054688</v>
      </c>
      <c r="L257" s="8">
        <f t="shared" si="14"/>
        <v>6.20724646401066E-2</v>
      </c>
      <c r="M257" s="3">
        <v>347.36602783203119</v>
      </c>
      <c r="N257" s="8">
        <f t="shared" si="15"/>
        <v>5.8485937611190336E-2</v>
      </c>
    </row>
    <row r="258" spans="1:14" x14ac:dyDescent="0.25">
      <c r="A258" s="19" t="s">
        <v>21</v>
      </c>
      <c r="B258" s="2">
        <v>44712</v>
      </c>
      <c r="C258" s="3">
        <v>339.81</v>
      </c>
      <c r="D258" s="3">
        <v>270.07565307617188</v>
      </c>
      <c r="E258" s="3">
        <v>240.07565307617188</v>
      </c>
      <c r="F258" s="3">
        <v>300.07565307617188</v>
      </c>
      <c r="G258" t="s">
        <v>3</v>
      </c>
      <c r="H258" s="8">
        <f t="shared" si="16"/>
        <v>0.20521569972581186</v>
      </c>
      <c r="I258" s="13">
        <v>323.87509155273438</v>
      </c>
      <c r="J258" s="8">
        <f t="shared" si="13"/>
        <v>4.6893583023647413E-2</v>
      </c>
      <c r="K258" s="13">
        <v>327.29666137695313</v>
      </c>
      <c r="L258" s="8">
        <f t="shared" si="14"/>
        <v>3.6824515532347127E-2</v>
      </c>
      <c r="M258" s="3">
        <v>304.196533203125</v>
      </c>
      <c r="N258" s="8">
        <f t="shared" si="15"/>
        <v>0.11707387464897363</v>
      </c>
    </row>
    <row r="259" spans="1:14" x14ac:dyDescent="0.25">
      <c r="A259" s="19" t="s">
        <v>21</v>
      </c>
      <c r="B259" s="2">
        <v>44742</v>
      </c>
      <c r="C259" s="3">
        <v>273.14999999999998</v>
      </c>
      <c r="D259" s="3">
        <v>163.85789489746091</v>
      </c>
      <c r="E259" s="3">
        <v>133.85789489746091</v>
      </c>
      <c r="F259" s="3">
        <v>193.85789489746091</v>
      </c>
      <c r="G259" t="s">
        <v>3</v>
      </c>
      <c r="H259" s="8">
        <f t="shared" si="16"/>
        <v>0.40011753652769205</v>
      </c>
      <c r="I259" s="13">
        <v>266.24600219726563</v>
      </c>
      <c r="J259" s="8">
        <f t="shared" ref="J259:J298" si="17">IFERROR(ABS((C259-I259)/C259),0)</f>
        <v>2.5275481613524997E-2</v>
      </c>
      <c r="K259" s="13">
        <v>250.32402038574219</v>
      </c>
      <c r="L259" s="8">
        <f t="shared" ref="L259:L299" si="18">IFERROR(ABS((C259-K259)/C259),0)</f>
        <v>8.3565731701474619E-2</v>
      </c>
      <c r="M259" s="3">
        <v>252.6711120605469</v>
      </c>
      <c r="N259" s="8">
        <f t="shared" ref="N259:N299" si="19">IFERROR(ABS((C259-M259)/M259),0)</f>
        <v>8.104958169711847E-2</v>
      </c>
    </row>
    <row r="260" spans="1:14" x14ac:dyDescent="0.25">
      <c r="A260" s="19" t="s">
        <v>21</v>
      </c>
      <c r="B260" s="2">
        <v>44773</v>
      </c>
      <c r="C260" s="3">
        <v>210.64</v>
      </c>
      <c r="D260" s="3">
        <v>135.69575500488281</v>
      </c>
      <c r="E260" s="3">
        <v>105.69575500488281</v>
      </c>
      <c r="F260" s="3">
        <v>165.69575500488281</v>
      </c>
      <c r="G260" t="s">
        <v>3</v>
      </c>
      <c r="H260" s="8">
        <f t="shared" si="16"/>
        <v>0.35579303548764329</v>
      </c>
      <c r="I260" s="13">
        <v>193.36885070800781</v>
      </c>
      <c r="J260" s="8">
        <f t="shared" si="17"/>
        <v>8.1993682548386695E-2</v>
      </c>
      <c r="K260" s="13">
        <v>179.06828308105469</v>
      </c>
      <c r="L260" s="8">
        <f t="shared" si="18"/>
        <v>0.14988471761747674</v>
      </c>
      <c r="M260" s="3">
        <v>195.9816589355469</v>
      </c>
      <c r="N260" s="8">
        <f t="shared" si="19"/>
        <v>7.4794453440532496E-2</v>
      </c>
    </row>
    <row r="261" spans="1:14" x14ac:dyDescent="0.25">
      <c r="A261" s="19" t="s">
        <v>21</v>
      </c>
      <c r="B261" s="2">
        <v>44804</v>
      </c>
      <c r="C261" s="3">
        <v>153.47</v>
      </c>
      <c r="D261" s="3">
        <v>123.5826034545898</v>
      </c>
      <c r="E261" s="3">
        <v>93.582603454589801</v>
      </c>
      <c r="F261" s="3">
        <v>153.58260345458979</v>
      </c>
      <c r="G261" t="s">
        <v>3</v>
      </c>
      <c r="H261" s="8">
        <f t="shared" si="16"/>
        <v>0.1947442271806229</v>
      </c>
      <c r="I261" s="13">
        <v>169.14202880859381</v>
      </c>
      <c r="J261" s="8">
        <f t="shared" si="17"/>
        <v>0.10211786543685286</v>
      </c>
      <c r="K261" s="13">
        <v>171.58912658691409</v>
      </c>
      <c r="L261" s="8">
        <f t="shared" si="18"/>
        <v>0.11806298681771091</v>
      </c>
      <c r="M261" s="3">
        <v>170.69920349121091</v>
      </c>
      <c r="N261" s="8">
        <f t="shared" si="19"/>
        <v>0.1009331217652578</v>
      </c>
    </row>
    <row r="262" spans="1:14" x14ac:dyDescent="0.25">
      <c r="A262" s="19" t="s">
        <v>21</v>
      </c>
      <c r="B262" s="2">
        <v>44834</v>
      </c>
      <c r="C262" s="3">
        <v>222.85</v>
      </c>
      <c r="D262" s="3">
        <v>183.4396667480469</v>
      </c>
      <c r="E262" s="3">
        <v>153.4396667480469</v>
      </c>
      <c r="F262" s="3">
        <v>213.4396667480469</v>
      </c>
      <c r="G262" t="s">
        <v>3</v>
      </c>
      <c r="H262" s="8">
        <f t="shared" si="16"/>
        <v>0.1768469071211716</v>
      </c>
      <c r="I262" s="13">
        <v>214.18464660644531</v>
      </c>
      <c r="J262" s="8">
        <f t="shared" si="17"/>
        <v>3.8884242286536606E-2</v>
      </c>
      <c r="K262" s="13">
        <v>230.6683044433594</v>
      </c>
      <c r="L262" s="8">
        <f t="shared" si="18"/>
        <v>3.5083259786221267E-2</v>
      </c>
      <c r="M262" s="3">
        <v>227.30671691894531</v>
      </c>
      <c r="N262" s="8">
        <f t="shared" si="19"/>
        <v>1.9606622185892233E-2</v>
      </c>
    </row>
    <row r="263" spans="1:14" x14ac:dyDescent="0.25">
      <c r="A263" s="19" t="s">
        <v>21</v>
      </c>
      <c r="B263" s="2">
        <v>44865</v>
      </c>
      <c r="C263" s="3">
        <v>286.39999999999998</v>
      </c>
      <c r="D263" s="3">
        <v>278.18875122070313</v>
      </c>
      <c r="E263" s="3">
        <v>248.18875122070313</v>
      </c>
      <c r="F263" s="3">
        <v>308.18875122070313</v>
      </c>
      <c r="G263" t="s">
        <v>3</v>
      </c>
      <c r="H263" s="8">
        <f t="shared" si="16"/>
        <v>2.8670561380226441E-2</v>
      </c>
      <c r="I263" s="13">
        <v>286.01690673828119</v>
      </c>
      <c r="J263" s="8">
        <f t="shared" si="17"/>
        <v>1.3376161372862575E-3</v>
      </c>
      <c r="K263" s="13">
        <v>305.12286376953119</v>
      </c>
      <c r="L263" s="8">
        <f t="shared" si="18"/>
        <v>6.537312768691067E-2</v>
      </c>
      <c r="M263" s="3">
        <v>289.97909545898438</v>
      </c>
      <c r="N263" s="8">
        <f t="shared" si="19"/>
        <v>1.2342598190808679E-2</v>
      </c>
    </row>
    <row r="264" spans="1:14" x14ac:dyDescent="0.25">
      <c r="A264" s="19" t="s">
        <v>21</v>
      </c>
      <c r="B264" s="2">
        <v>44895</v>
      </c>
      <c r="C264" s="3">
        <v>269.52</v>
      </c>
      <c r="D264" s="3">
        <v>290.96881103515619</v>
      </c>
      <c r="E264" s="3">
        <v>260.96881103515619</v>
      </c>
      <c r="F264" s="3">
        <v>320.96881103515619</v>
      </c>
      <c r="G264" t="s">
        <v>3</v>
      </c>
      <c r="H264" s="8">
        <f t="shared" si="16"/>
        <v>7.9581519127175024E-2</v>
      </c>
      <c r="I264" s="13">
        <v>318.55621337890619</v>
      </c>
      <c r="J264" s="8">
        <f t="shared" si="17"/>
        <v>0.1819390523111688</v>
      </c>
      <c r="K264" s="13">
        <v>331.0516357421875</v>
      </c>
      <c r="L264" s="8">
        <f t="shared" si="18"/>
        <v>0.2283008153093927</v>
      </c>
      <c r="M264" s="3">
        <v>316.15093994140619</v>
      </c>
      <c r="N264" s="8">
        <f t="shared" si="19"/>
        <v>0.14749581307602169</v>
      </c>
    </row>
    <row r="265" spans="1:14" x14ac:dyDescent="0.25">
      <c r="A265" s="19" t="s">
        <v>21</v>
      </c>
      <c r="B265" s="2">
        <v>44926</v>
      </c>
      <c r="C265" s="3">
        <v>332.67</v>
      </c>
      <c r="D265" s="3">
        <v>307.96676635742188</v>
      </c>
      <c r="E265" s="3">
        <v>277.96676635742188</v>
      </c>
      <c r="F265" s="3">
        <v>337.96676635742188</v>
      </c>
      <c r="G265" t="s">
        <v>3</v>
      </c>
      <c r="H265" s="8">
        <f t="shared" si="16"/>
        <v>7.4257473299600626E-2</v>
      </c>
      <c r="I265" s="13">
        <v>348.345947265625</v>
      </c>
      <c r="J265" s="8">
        <f t="shared" si="17"/>
        <v>4.7121613808353571E-2</v>
      </c>
      <c r="K265" s="13">
        <v>336.5556640625</v>
      </c>
      <c r="L265" s="8">
        <f t="shared" si="18"/>
        <v>1.1680235856855093E-2</v>
      </c>
      <c r="M265" s="3">
        <v>337.39303588867188</v>
      </c>
      <c r="N265" s="8">
        <f t="shared" si="19"/>
        <v>1.3998617002368416E-2</v>
      </c>
    </row>
    <row r="266" spans="1:14" x14ac:dyDescent="0.25">
      <c r="A266" s="19" t="s">
        <v>22</v>
      </c>
      <c r="B266" s="2">
        <v>44957</v>
      </c>
      <c r="C266" s="3">
        <v>364.72</v>
      </c>
      <c r="D266" s="3">
        <v>290.32119750976563</v>
      </c>
      <c r="E266" s="3">
        <v>260.32119750976563</v>
      </c>
      <c r="F266" s="3">
        <v>320.32119750976563</v>
      </c>
      <c r="G266" t="s">
        <v>3</v>
      </c>
      <c r="H266" s="8">
        <f t="shared" si="16"/>
        <v>0.2039888201640557</v>
      </c>
      <c r="I266" s="14">
        <v>350.12249755859381</v>
      </c>
      <c r="J266" s="8">
        <f t="shared" si="17"/>
        <v>4.0023860609251533E-2</v>
      </c>
      <c r="K266" s="13">
        <v>331.49899291992188</v>
      </c>
      <c r="L266" s="8">
        <f t="shared" si="18"/>
        <v>9.1086332200258149E-2</v>
      </c>
      <c r="M266" s="3">
        <v>315.66427612304688</v>
      </c>
      <c r="N266" s="8">
        <f t="shared" si="19"/>
        <v>0.15540473720830889</v>
      </c>
    </row>
    <row r="267" spans="1:14" x14ac:dyDescent="0.25">
      <c r="A267" s="19" t="s">
        <v>22</v>
      </c>
      <c r="B267" s="2">
        <v>44985</v>
      </c>
      <c r="C267" s="3">
        <v>231.42</v>
      </c>
      <c r="D267" s="3">
        <v>283.73141479492188</v>
      </c>
      <c r="E267" s="3">
        <v>253.73141479492188</v>
      </c>
      <c r="F267" s="3">
        <v>313.73141479492188</v>
      </c>
      <c r="G267" t="s">
        <v>3</v>
      </c>
      <c r="H267" s="8">
        <f t="shared" si="16"/>
        <v>0.2260453495589054</v>
      </c>
      <c r="I267" s="14">
        <v>335.83319091796881</v>
      </c>
      <c r="J267" s="8">
        <f t="shared" si="17"/>
        <v>0.45118481945367223</v>
      </c>
      <c r="K267" s="13">
        <v>324.6160888671875</v>
      </c>
      <c r="L267" s="8">
        <f t="shared" si="18"/>
        <v>0.40271406476185084</v>
      </c>
      <c r="M267" s="3">
        <v>314.55178833007813</v>
      </c>
      <c r="N267" s="8">
        <f t="shared" si="19"/>
        <v>0.26428649085549927</v>
      </c>
    </row>
    <row r="268" spans="1:14" x14ac:dyDescent="0.25">
      <c r="A268" s="19" t="s">
        <v>22</v>
      </c>
      <c r="B268" s="2">
        <v>45016</v>
      </c>
      <c r="C268" s="3">
        <v>374.11</v>
      </c>
      <c r="D268" s="3">
        <v>361.01943969726563</v>
      </c>
      <c r="E268" s="3">
        <v>331.01943969726563</v>
      </c>
      <c r="F268" s="3">
        <v>391.01943969726563</v>
      </c>
      <c r="G268" t="s">
        <v>3</v>
      </c>
      <c r="H268" s="8">
        <f t="shared" si="16"/>
        <v>3.499120660429924E-2</v>
      </c>
      <c r="I268" s="14">
        <v>323.48721313476563</v>
      </c>
      <c r="J268" s="8">
        <f t="shared" si="17"/>
        <v>0.13531524649230009</v>
      </c>
      <c r="K268" s="13">
        <v>325.42636108398438</v>
      </c>
      <c r="L268" s="8">
        <f t="shared" si="18"/>
        <v>0.13013188344608709</v>
      </c>
      <c r="M268" s="3">
        <v>320.12567138671881</v>
      </c>
      <c r="N268" s="8">
        <f t="shared" si="19"/>
        <v>0.16863480013780888</v>
      </c>
    </row>
    <row r="269" spans="1:14" x14ac:dyDescent="0.25">
      <c r="A269" s="19" t="s">
        <v>22</v>
      </c>
      <c r="B269" s="2">
        <v>45046</v>
      </c>
      <c r="C269" s="3">
        <v>300.94</v>
      </c>
      <c r="D269" s="3">
        <v>349.02059936523438</v>
      </c>
      <c r="E269" s="3">
        <v>319.02059936523438</v>
      </c>
      <c r="F269" s="3">
        <v>379.02059936523438</v>
      </c>
      <c r="G269" t="s">
        <v>3</v>
      </c>
      <c r="H269" s="8">
        <f t="shared" si="16"/>
        <v>0.15976805796914462</v>
      </c>
      <c r="I269" s="14">
        <v>308.41738891601563</v>
      </c>
      <c r="J269" s="8">
        <f t="shared" si="17"/>
        <v>2.4846776487059304E-2</v>
      </c>
      <c r="K269" s="13">
        <v>334.76760864257813</v>
      </c>
      <c r="L269" s="8">
        <f t="shared" si="18"/>
        <v>0.11240648847802927</v>
      </c>
      <c r="M269" s="3">
        <v>332.85906982421881</v>
      </c>
      <c r="N269" s="8">
        <f t="shared" si="19"/>
        <v>9.5893646043880093E-2</v>
      </c>
    </row>
    <row r="270" spans="1:14" x14ac:dyDescent="0.25">
      <c r="A270" s="19" t="s">
        <v>22</v>
      </c>
      <c r="B270" s="2">
        <v>45077</v>
      </c>
      <c r="C270" s="3">
        <v>208.66</v>
      </c>
      <c r="D270" s="3">
        <v>255.5462341308594</v>
      </c>
      <c r="E270" s="3">
        <v>225.5462341308594</v>
      </c>
      <c r="F270" s="3">
        <v>285.54623413085938</v>
      </c>
      <c r="G270" t="s">
        <v>3</v>
      </c>
      <c r="H270" s="8">
        <f t="shared" si="16"/>
        <v>0.22470159173228893</v>
      </c>
      <c r="I270" s="14">
        <v>267.41708374023438</v>
      </c>
      <c r="J270" s="8">
        <f t="shared" si="17"/>
        <v>0.28159246496805512</v>
      </c>
      <c r="K270" s="13">
        <v>300.9508056640625</v>
      </c>
      <c r="L270" s="8">
        <f t="shared" si="18"/>
        <v>0.44230233712289135</v>
      </c>
      <c r="M270" s="3">
        <v>277.13888549804688</v>
      </c>
      <c r="N270" s="8">
        <f t="shared" si="19"/>
        <v>0.24709230310637689</v>
      </c>
    </row>
    <row r="271" spans="1:14" x14ac:dyDescent="0.25">
      <c r="A271" s="19" t="s">
        <v>22</v>
      </c>
      <c r="B271" s="2">
        <v>45107</v>
      </c>
      <c r="C271" s="3">
        <v>103.65</v>
      </c>
      <c r="D271" s="3">
        <v>155.8760681152344</v>
      </c>
      <c r="E271" s="3">
        <v>125.8760681152344</v>
      </c>
      <c r="F271" s="3">
        <v>185.8760681152344</v>
      </c>
      <c r="G271" t="s">
        <v>3</v>
      </c>
      <c r="H271" s="8">
        <f t="shared" si="16"/>
        <v>0.50386944636019682</v>
      </c>
      <c r="I271" s="14">
        <v>166.08586120605469</v>
      </c>
      <c r="J271" s="8">
        <f t="shared" si="17"/>
        <v>0.60237203286111607</v>
      </c>
      <c r="K271" s="13">
        <v>191.14862060546881</v>
      </c>
      <c r="L271" s="8">
        <f t="shared" si="18"/>
        <v>0.84417386015888851</v>
      </c>
      <c r="M271" s="3">
        <v>187.80133056640619</v>
      </c>
      <c r="N271" s="8">
        <f t="shared" si="19"/>
        <v>0.44808697740642706</v>
      </c>
    </row>
    <row r="272" spans="1:14" x14ac:dyDescent="0.25">
      <c r="A272" s="19" t="s">
        <v>22</v>
      </c>
      <c r="B272" s="2">
        <v>45138</v>
      </c>
      <c r="C272" s="3">
        <v>107.6</v>
      </c>
      <c r="D272" s="3">
        <v>129.09480285644531</v>
      </c>
      <c r="E272" s="3">
        <v>99.094802856445313</v>
      </c>
      <c r="F272" s="3">
        <v>159.09480285644531</v>
      </c>
      <c r="G272" t="s">
        <v>3</v>
      </c>
      <c r="H272" s="8">
        <f t="shared" si="16"/>
        <v>0.19976582580339516</v>
      </c>
      <c r="I272" s="14">
        <v>119.4282684326172</v>
      </c>
      <c r="J272" s="8">
        <f t="shared" si="17"/>
        <v>0.10992814528454654</v>
      </c>
      <c r="K272" s="13">
        <v>122.7941207885742</v>
      </c>
      <c r="L272" s="8">
        <f t="shared" si="18"/>
        <v>0.14120930100905402</v>
      </c>
      <c r="M272" s="3">
        <v>116.32667541503911</v>
      </c>
      <c r="N272" s="8">
        <f t="shared" si="19"/>
        <v>7.5018695272631303E-2</v>
      </c>
    </row>
    <row r="273" spans="1:14" x14ac:dyDescent="0.25">
      <c r="A273" s="19" t="s">
        <v>22</v>
      </c>
      <c r="B273" s="2">
        <v>45169</v>
      </c>
      <c r="C273" s="3">
        <v>140.18</v>
      </c>
      <c r="D273" s="3">
        <v>105.87188720703119</v>
      </c>
      <c r="E273" s="3">
        <v>75.871887207031193</v>
      </c>
      <c r="F273" s="3">
        <v>135.87188720703119</v>
      </c>
      <c r="G273" t="s">
        <v>3</v>
      </c>
      <c r="H273" s="8">
        <f t="shared" si="16"/>
        <v>0.24474327859158804</v>
      </c>
      <c r="I273" s="14">
        <v>118.1037139892578</v>
      </c>
      <c r="J273" s="8">
        <f t="shared" si="17"/>
        <v>0.15748527615025115</v>
      </c>
      <c r="K273" s="13">
        <v>120.62547302246089</v>
      </c>
      <c r="L273" s="8">
        <f t="shared" si="18"/>
        <v>0.13949584090126346</v>
      </c>
      <c r="M273" s="3">
        <v>129.52915954589841</v>
      </c>
      <c r="N273" s="8">
        <f t="shared" si="19"/>
        <v>8.2227357078832067E-2</v>
      </c>
    </row>
    <row r="274" spans="1:14" x14ac:dyDescent="0.25">
      <c r="A274" s="19" t="s">
        <v>22</v>
      </c>
      <c r="B274" s="2">
        <v>45199</v>
      </c>
      <c r="C274" s="3">
        <v>146.13</v>
      </c>
      <c r="D274" s="3">
        <v>165.37934875488281</v>
      </c>
      <c r="E274" s="3">
        <v>135.37934875488281</v>
      </c>
      <c r="F274" s="3">
        <v>195.37934875488281</v>
      </c>
      <c r="G274" t="s">
        <v>3</v>
      </c>
      <c r="H274" s="8">
        <f t="shared" si="16"/>
        <v>0.13172756281997411</v>
      </c>
      <c r="I274" s="14">
        <v>191.46141052246091</v>
      </c>
      <c r="J274" s="8">
        <f t="shared" si="17"/>
        <v>0.31021289620516607</v>
      </c>
      <c r="K274" s="13">
        <v>185.4529724121094</v>
      </c>
      <c r="L274" s="8">
        <f t="shared" si="18"/>
        <v>0.26909582161164314</v>
      </c>
      <c r="M274" s="3">
        <v>213.59068298339841</v>
      </c>
      <c r="N274" s="8">
        <f t="shared" si="19"/>
        <v>0.3158409441887588</v>
      </c>
    </row>
    <row r="275" spans="1:14" x14ac:dyDescent="0.25">
      <c r="A275" s="19" t="s">
        <v>22</v>
      </c>
      <c r="B275" s="2">
        <v>45230</v>
      </c>
      <c r="C275" s="3">
        <v>250.74</v>
      </c>
      <c r="D275" s="3">
        <v>275.525146484375</v>
      </c>
      <c r="E275" s="3">
        <v>245.525146484375</v>
      </c>
      <c r="F275" s="3">
        <v>305.525146484375</v>
      </c>
      <c r="G275" t="s">
        <v>3</v>
      </c>
      <c r="H275" s="8">
        <f t="shared" si="16"/>
        <v>9.8847995869725577E-2</v>
      </c>
      <c r="I275" s="14">
        <v>290.9266357421875</v>
      </c>
      <c r="J275" s="8">
        <f t="shared" si="17"/>
        <v>0.16027213744192187</v>
      </c>
      <c r="K275" s="13">
        <v>277.37643432617188</v>
      </c>
      <c r="L275" s="8">
        <f t="shared" si="18"/>
        <v>0.10623129267835951</v>
      </c>
      <c r="M275" s="3">
        <v>284.24392700195313</v>
      </c>
      <c r="N275" s="8">
        <f t="shared" si="19"/>
        <v>0.11787033536770304</v>
      </c>
    </row>
    <row r="276" spans="1:14" x14ac:dyDescent="0.25">
      <c r="A276" s="19" t="s">
        <v>22</v>
      </c>
      <c r="B276" s="2">
        <v>45260</v>
      </c>
      <c r="C276" s="3">
        <v>210.87</v>
      </c>
      <c r="D276" s="3">
        <v>281.81546020507813</v>
      </c>
      <c r="E276" s="3">
        <v>251.81546020507813</v>
      </c>
      <c r="F276" s="3">
        <v>311.81546020507813</v>
      </c>
      <c r="G276" t="s">
        <v>3</v>
      </c>
      <c r="H276" s="8">
        <f t="shared" si="16"/>
        <v>0.33644169490718506</v>
      </c>
      <c r="I276" s="14">
        <v>303.70962524414063</v>
      </c>
      <c r="J276" s="8">
        <f t="shared" si="17"/>
        <v>0.44026947998359472</v>
      </c>
      <c r="K276" s="13">
        <v>291.75994873046881</v>
      </c>
      <c r="L276" s="8">
        <f t="shared" si="18"/>
        <v>0.38360102779185662</v>
      </c>
      <c r="M276" s="3">
        <v>288.739013671875</v>
      </c>
      <c r="N276" s="8">
        <f t="shared" si="19"/>
        <v>0.26968649882681206</v>
      </c>
    </row>
    <row r="277" spans="1:14" x14ac:dyDescent="0.25">
      <c r="A277" s="19" t="s">
        <v>22</v>
      </c>
      <c r="B277" s="2">
        <v>45291</v>
      </c>
      <c r="C277" s="3">
        <v>330.38</v>
      </c>
      <c r="D277" s="3">
        <v>289.70281982421881</v>
      </c>
      <c r="E277" s="3">
        <v>259.70281982421881</v>
      </c>
      <c r="F277" s="3">
        <v>319.70281982421881</v>
      </c>
      <c r="G277" t="s">
        <v>3</v>
      </c>
      <c r="H277" s="8">
        <f t="shared" si="16"/>
        <v>0.1231224050359622</v>
      </c>
      <c r="I277" s="14">
        <v>293.48593139648438</v>
      </c>
      <c r="J277" s="8">
        <f t="shared" si="17"/>
        <v>0.11167161633124166</v>
      </c>
      <c r="K277" s="13">
        <v>285.9373779296875</v>
      </c>
      <c r="L277" s="8">
        <f t="shared" si="18"/>
        <v>0.13451971084906017</v>
      </c>
      <c r="M277" s="3">
        <v>267.77584838867188</v>
      </c>
      <c r="N277" s="8">
        <f t="shared" si="19"/>
        <v>0.23379312207596598</v>
      </c>
    </row>
    <row r="278" spans="1:14" x14ac:dyDescent="0.25">
      <c r="A278" s="19" t="s">
        <v>22</v>
      </c>
      <c r="B278" s="2">
        <v>45322</v>
      </c>
      <c r="C278" s="3">
        <v>192.63</v>
      </c>
      <c r="D278" s="3">
        <v>288.18310546875</v>
      </c>
      <c r="E278" s="3">
        <v>250.168212890625</v>
      </c>
      <c r="F278" s="3">
        <v>310.168212890625</v>
      </c>
      <c r="G278" t="s">
        <v>3</v>
      </c>
      <c r="H278" s="8">
        <f t="shared" si="16"/>
        <v>0.49604477739059338</v>
      </c>
      <c r="I278" s="14">
        <v>262.379638671875</v>
      </c>
      <c r="J278" s="8">
        <f t="shared" si="17"/>
        <v>0.36209125614844523</v>
      </c>
      <c r="K278" s="13">
        <v>271.1260986328125</v>
      </c>
      <c r="L278" s="8">
        <f t="shared" si="18"/>
        <v>0.4074967483404065</v>
      </c>
      <c r="M278" s="3">
        <v>289.13116455078119</v>
      </c>
      <c r="N278" s="8">
        <f t="shared" si="19"/>
        <v>0.33376258384568686</v>
      </c>
    </row>
    <row r="279" spans="1:14" x14ac:dyDescent="0.25">
      <c r="A279" s="19" t="s">
        <v>22</v>
      </c>
      <c r="B279" s="2">
        <v>45351</v>
      </c>
      <c r="C279" s="3">
        <v>298.04000000000002</v>
      </c>
      <c r="D279" s="3">
        <v>333.5941162109375</v>
      </c>
      <c r="E279" s="3">
        <v>290.2943115234375</v>
      </c>
      <c r="F279" s="3">
        <v>350.2943115234375</v>
      </c>
      <c r="G279" t="s">
        <v>3</v>
      </c>
      <c r="H279" s="8">
        <f t="shared" si="16"/>
        <v>0.11929310230484995</v>
      </c>
      <c r="I279" s="14">
        <v>243.5887756347656</v>
      </c>
      <c r="J279" s="8">
        <f t="shared" si="17"/>
        <v>0.18269770623149384</v>
      </c>
      <c r="K279" s="13">
        <v>277.66836547851563</v>
      </c>
      <c r="L279" s="8">
        <f t="shared" si="18"/>
        <v>6.8352014902309743E-2</v>
      </c>
      <c r="M279" s="3">
        <v>278.14535522460938</v>
      </c>
      <c r="N279" s="8">
        <f t="shared" si="19"/>
        <v>7.1526072255728379E-2</v>
      </c>
    </row>
    <row r="280" spans="1:14" x14ac:dyDescent="0.25">
      <c r="A280" s="19" t="s">
        <v>22</v>
      </c>
      <c r="B280" s="2">
        <v>45382</v>
      </c>
      <c r="C280" s="3">
        <v>258.76</v>
      </c>
      <c r="D280" s="3">
        <v>242.30474853515619</v>
      </c>
      <c r="E280" s="3">
        <v>258.5006103515625</v>
      </c>
      <c r="F280" s="3">
        <v>318.5006103515625</v>
      </c>
      <c r="G280" t="s">
        <v>3</v>
      </c>
      <c r="H280" s="8">
        <f t="shared" si="16"/>
        <v>6.35927170538097E-2</v>
      </c>
      <c r="I280" s="14">
        <v>321.98977661132813</v>
      </c>
      <c r="J280" s="8">
        <f t="shared" si="17"/>
        <v>0.24435684267787963</v>
      </c>
      <c r="K280" s="13">
        <v>308.12103271484381</v>
      </c>
      <c r="L280" s="8">
        <f t="shared" si="18"/>
        <v>0.19075990382920011</v>
      </c>
      <c r="M280" s="3">
        <v>340.16934204101563</v>
      </c>
      <c r="N280" s="8">
        <f t="shared" si="19"/>
        <v>0.23932004440070845</v>
      </c>
    </row>
    <row r="281" spans="1:14" x14ac:dyDescent="0.25">
      <c r="A281" s="19" t="s">
        <v>22</v>
      </c>
      <c r="B281" s="2">
        <v>45412</v>
      </c>
      <c r="C281" s="3">
        <v>349.27</v>
      </c>
      <c r="D281" s="3">
        <v>315.209716796875</v>
      </c>
      <c r="E281" s="3">
        <v>298.61996459960938</v>
      </c>
      <c r="F281" s="3">
        <v>358.61996459960938</v>
      </c>
      <c r="G281" t="s">
        <v>3</v>
      </c>
      <c r="H281" s="8">
        <f t="shared" si="16"/>
        <v>9.751849057498492E-2</v>
      </c>
      <c r="I281" s="14">
        <v>280.64898681640619</v>
      </c>
      <c r="J281" s="8">
        <f t="shared" si="17"/>
        <v>0.19646981757263376</v>
      </c>
      <c r="K281" s="13">
        <v>314.431640625</v>
      </c>
      <c r="L281" s="8">
        <f t="shared" si="18"/>
        <v>9.9746211741632507E-2</v>
      </c>
      <c r="M281" s="3">
        <v>298.26959228515619</v>
      </c>
      <c r="N281" s="8">
        <f t="shared" si="19"/>
        <v>0.17098762003900689</v>
      </c>
    </row>
    <row r="282" spans="1:14" x14ac:dyDescent="0.25">
      <c r="A282" s="19" t="s">
        <v>22</v>
      </c>
      <c r="B282" s="2">
        <v>45443</v>
      </c>
      <c r="C282" s="3">
        <v>265.91000000000003</v>
      </c>
      <c r="D282" s="3">
        <v>245.20661926269531</v>
      </c>
      <c r="E282" s="3">
        <v>231.19619750976563</v>
      </c>
      <c r="F282" s="3">
        <v>291.19619750976563</v>
      </c>
      <c r="G282" t="s">
        <v>3</v>
      </c>
      <c r="H282" s="8">
        <f t="shared" si="16"/>
        <v>7.7858601546781661E-2</v>
      </c>
      <c r="I282" s="14">
        <v>206.39471435546881</v>
      </c>
      <c r="J282" s="8">
        <f t="shared" si="17"/>
        <v>0.22381740304814116</v>
      </c>
      <c r="K282" s="13">
        <v>238.8757019042969</v>
      </c>
      <c r="L282" s="8">
        <f t="shared" si="18"/>
        <v>0.10166709825017156</v>
      </c>
      <c r="M282" s="3">
        <v>237.40748596191409</v>
      </c>
      <c r="N282" s="8">
        <f t="shared" si="19"/>
        <v>0.12005735169892001</v>
      </c>
    </row>
    <row r="283" spans="1:14" x14ac:dyDescent="0.25">
      <c r="A283" s="19" t="s">
        <v>22</v>
      </c>
      <c r="B283" s="2">
        <v>45473</v>
      </c>
      <c r="C283" s="3">
        <v>213.54</v>
      </c>
      <c r="D283" s="3">
        <v>102.26772308349609</v>
      </c>
      <c r="E283" s="3">
        <v>118.4599304199219</v>
      </c>
      <c r="F283" s="3">
        <v>178.4599304199219</v>
      </c>
      <c r="G283" t="s">
        <v>3</v>
      </c>
      <c r="H283" s="8">
        <f t="shared" si="16"/>
        <v>0.52108399792312399</v>
      </c>
      <c r="I283" s="14">
        <v>146.16639709472659</v>
      </c>
      <c r="J283" s="8">
        <f t="shared" si="17"/>
        <v>0.315508115131935</v>
      </c>
      <c r="K283" s="13">
        <v>142.9235534667969</v>
      </c>
      <c r="L283" s="8">
        <f t="shared" si="18"/>
        <v>0.33069423308608736</v>
      </c>
      <c r="M283" s="3">
        <v>141.92265319824219</v>
      </c>
      <c r="N283" s="8">
        <f t="shared" si="19"/>
        <v>0.50462237837197388</v>
      </c>
    </row>
    <row r="284" spans="1:14" x14ac:dyDescent="0.25">
      <c r="A284" s="19" t="s">
        <v>22</v>
      </c>
      <c r="B284" s="2">
        <v>45504</v>
      </c>
      <c r="C284" s="3">
        <v>81.08</v>
      </c>
      <c r="D284" s="3">
        <v>57.353805541992188</v>
      </c>
      <c r="E284" s="3">
        <v>81.893516540527301</v>
      </c>
      <c r="F284" s="3">
        <v>141.89351654052729</v>
      </c>
      <c r="G284" t="s">
        <v>3</v>
      </c>
      <c r="H284" s="8">
        <f t="shared" si="16"/>
        <v>0.29262696667498533</v>
      </c>
      <c r="I284" s="14">
        <v>120.39390563964839</v>
      </c>
      <c r="J284" s="8">
        <f t="shared" si="17"/>
        <v>0.4848779679285693</v>
      </c>
      <c r="K284" s="13">
        <v>107.79136657714839</v>
      </c>
      <c r="L284" s="8">
        <f t="shared" si="18"/>
        <v>0.3294445803792353</v>
      </c>
      <c r="M284" s="3">
        <v>132.6897277832031</v>
      </c>
      <c r="N284" s="8">
        <f t="shared" si="19"/>
        <v>0.38895043833028542</v>
      </c>
    </row>
    <row r="285" spans="1:14" x14ac:dyDescent="0.25">
      <c r="A285" s="19" t="s">
        <v>22</v>
      </c>
      <c r="B285" s="2">
        <v>45535</v>
      </c>
      <c r="C285" s="3">
        <v>96.94</v>
      </c>
      <c r="D285" s="3">
        <v>44.953205108642578</v>
      </c>
      <c r="E285" s="3">
        <v>82.092636108398395</v>
      </c>
      <c r="F285" s="3">
        <v>142.09263610839838</v>
      </c>
      <c r="G285" t="s">
        <v>3</v>
      </c>
      <c r="H285" s="8">
        <f t="shared" si="16"/>
        <v>0.53627805747222423</v>
      </c>
      <c r="I285" s="14">
        <v>112.40992736816411</v>
      </c>
      <c r="J285" s="8">
        <f t="shared" si="17"/>
        <v>0.15958249812424291</v>
      </c>
      <c r="K285" s="13">
        <v>112.73960876464839</v>
      </c>
      <c r="L285" s="8">
        <f t="shared" si="18"/>
        <v>0.16298337904526922</v>
      </c>
      <c r="M285" s="3">
        <v>129.4110107421875</v>
      </c>
      <c r="N285" s="8">
        <f t="shared" si="19"/>
        <v>0.25091381757983655</v>
      </c>
    </row>
    <row r="286" spans="1:14" x14ac:dyDescent="0.25">
      <c r="A286" s="19" t="s">
        <v>22</v>
      </c>
      <c r="B286" s="2">
        <v>45565</v>
      </c>
      <c r="C286" s="3">
        <v>73.13</v>
      </c>
      <c r="D286" s="3">
        <v>115.6855163574219</v>
      </c>
      <c r="E286" s="3">
        <v>152.96916198730469</v>
      </c>
      <c r="F286" s="3">
        <v>212.96916198730469</v>
      </c>
      <c r="G286" t="s">
        <v>3</v>
      </c>
      <c r="H286" s="8">
        <f t="shared" si="16"/>
        <v>0.58191599011926587</v>
      </c>
      <c r="I286" s="14">
        <v>151.6723327636719</v>
      </c>
      <c r="J286" s="8">
        <f t="shared" si="17"/>
        <v>1.0740097465290841</v>
      </c>
      <c r="K286" s="13">
        <v>176.01060485839841</v>
      </c>
      <c r="L286" s="8">
        <f t="shared" si="18"/>
        <v>1.4068180617858392</v>
      </c>
      <c r="M286" s="3">
        <v>168.28517150878909</v>
      </c>
      <c r="N286" s="8">
        <f t="shared" si="19"/>
        <v>0.56544002454678188</v>
      </c>
    </row>
    <row r="287" spans="1:14" x14ac:dyDescent="0.25">
      <c r="A287" s="19" t="s">
        <v>22</v>
      </c>
      <c r="B287" s="2">
        <v>45596</v>
      </c>
      <c r="C287" s="3">
        <f>242.72</f>
        <v>242.72</v>
      </c>
      <c r="D287" s="3">
        <v>217.833251953125</v>
      </c>
      <c r="E287" s="3">
        <v>213.88517761230469</v>
      </c>
      <c r="F287" s="3">
        <v>273.88517761230469</v>
      </c>
      <c r="G287" t="s">
        <v>3</v>
      </c>
      <c r="H287" s="8">
        <f t="shared" si="16"/>
        <v>0.10253274574355224</v>
      </c>
      <c r="I287" s="14">
        <v>273.04635620117188</v>
      </c>
      <c r="J287" s="8">
        <f t="shared" si="17"/>
        <v>0.12494378790858551</v>
      </c>
      <c r="K287" s="13">
        <v>273.50396728515619</v>
      </c>
      <c r="L287" s="8">
        <f t="shared" si="18"/>
        <v>0.12682913350838906</v>
      </c>
      <c r="M287" s="3">
        <v>273.858154296875</v>
      </c>
      <c r="N287" s="8">
        <f t="shared" si="19"/>
        <v>0.11370176059508454</v>
      </c>
    </row>
    <row r="288" spans="1:14" x14ac:dyDescent="0.25">
      <c r="A288" s="19" t="s">
        <v>22</v>
      </c>
      <c r="B288" s="2">
        <v>45626</v>
      </c>
      <c r="C288" s="3">
        <v>136.5</v>
      </c>
      <c r="D288" s="3">
        <v>144.7587890625</v>
      </c>
      <c r="E288" s="3">
        <v>234.01943969726563</v>
      </c>
      <c r="F288" s="3">
        <v>294.01943969726563</v>
      </c>
      <c r="G288" t="s">
        <v>3</v>
      </c>
      <c r="H288" s="8">
        <f t="shared" si="16"/>
        <v>6.0503949175824176E-2</v>
      </c>
      <c r="I288" s="14">
        <v>297.14752197265619</v>
      </c>
      <c r="J288" s="8">
        <f t="shared" si="17"/>
        <v>1.1769049228766022</v>
      </c>
      <c r="K288" s="13">
        <v>289.14376831054688</v>
      </c>
      <c r="L288" s="8">
        <f t="shared" si="18"/>
        <v>1.1182693649124313</v>
      </c>
      <c r="M288" s="3">
        <v>271.59649658203119</v>
      </c>
      <c r="N288" s="8">
        <f t="shared" si="19"/>
        <v>0.49741619749217769</v>
      </c>
    </row>
    <row r="289" spans="1:14" x14ac:dyDescent="0.25">
      <c r="A289" s="19" t="s">
        <v>22</v>
      </c>
      <c r="B289" s="2">
        <v>45657</v>
      </c>
      <c r="C289" s="3">
        <v>437.73</v>
      </c>
      <c r="D289" s="3">
        <v>386.66598510742199</v>
      </c>
      <c r="E289" s="3">
        <v>274.0750732421875</v>
      </c>
      <c r="F289" s="3">
        <v>334.0750732421875</v>
      </c>
      <c r="G289" t="s">
        <v>3</v>
      </c>
      <c r="H289" s="8">
        <f t="shared" si="16"/>
        <v>0.116656420379179</v>
      </c>
      <c r="I289" s="14">
        <v>316.9947509765625</v>
      </c>
      <c r="J289" s="8">
        <f t="shared" si="17"/>
        <v>0.27582128029478792</v>
      </c>
      <c r="K289" s="13">
        <v>282.303955078125</v>
      </c>
      <c r="L289" s="8">
        <f t="shared" si="18"/>
        <v>0.35507286437272978</v>
      </c>
      <c r="M289" s="3">
        <v>292.61361694335938</v>
      </c>
      <c r="N289" s="8">
        <f t="shared" si="19"/>
        <v>0.49593174976792187</v>
      </c>
    </row>
    <row r="290" spans="1:14" x14ac:dyDescent="0.25">
      <c r="A290" s="19" t="s">
        <v>22</v>
      </c>
      <c r="B290" s="2">
        <v>45688</v>
      </c>
      <c r="C290" s="3">
        <v>322.3</v>
      </c>
      <c r="D290" s="3">
        <v>302.3</v>
      </c>
      <c r="E290" s="3">
        <v>240.23043823242188</v>
      </c>
      <c r="F290" s="3">
        <v>300.23043823242188</v>
      </c>
      <c r="G290" t="s">
        <v>3</v>
      </c>
      <c r="H290" s="8">
        <f t="shared" si="16"/>
        <v>6.2053986968662732E-2</v>
      </c>
      <c r="I290" s="14">
        <v>291.92831420898438</v>
      </c>
      <c r="J290" s="8">
        <f t="shared" si="17"/>
        <v>9.423420971460017E-2</v>
      </c>
      <c r="K290" s="13">
        <v>266.016357421875</v>
      </c>
      <c r="L290" s="8">
        <f t="shared" si="18"/>
        <v>0.17463122115459204</v>
      </c>
      <c r="M290" s="3">
        <v>276.43032836914063</v>
      </c>
      <c r="N290" s="8">
        <f t="shared" si="19"/>
        <v>0.16593574193351809</v>
      </c>
    </row>
    <row r="291" spans="1:14" x14ac:dyDescent="0.25">
      <c r="A291" s="19" t="s">
        <v>22</v>
      </c>
      <c r="B291" s="2">
        <v>45716</v>
      </c>
      <c r="C291" s="3">
        <v>456.57</v>
      </c>
      <c r="D291" s="3">
        <v>436.57</v>
      </c>
      <c r="E291" s="3">
        <v>247.89382934570313</v>
      </c>
      <c r="F291" s="3">
        <v>307.89382934570313</v>
      </c>
      <c r="G291" t="s">
        <v>3</v>
      </c>
      <c r="H291" s="8">
        <f t="shared" si="16"/>
        <v>4.3804893006548835E-2</v>
      </c>
      <c r="I291" s="14">
        <v>240.02333068847659</v>
      </c>
      <c r="J291" s="8">
        <f t="shared" si="17"/>
        <v>0.47429018400578971</v>
      </c>
      <c r="K291" s="13">
        <v>278.559814453125</v>
      </c>
      <c r="L291" s="8">
        <f t="shared" si="18"/>
        <v>0.3898858565978382</v>
      </c>
      <c r="M291" s="3">
        <v>245.66999816894531</v>
      </c>
      <c r="N291" s="8">
        <f t="shared" si="19"/>
        <v>0.85846869134594295</v>
      </c>
    </row>
    <row r="292" spans="1:14" x14ac:dyDescent="0.25">
      <c r="A292" s="19" t="s">
        <v>22</v>
      </c>
      <c r="B292" s="2">
        <v>45747</v>
      </c>
      <c r="C292" s="3">
        <v>406.78</v>
      </c>
      <c r="D292" s="3">
        <v>386.78</v>
      </c>
      <c r="E292" s="3">
        <v>281.51785278320313</v>
      </c>
      <c r="F292" s="3">
        <v>341.51785278320313</v>
      </c>
      <c r="G292" t="s">
        <v>3</v>
      </c>
      <c r="H292" s="8">
        <f t="shared" si="16"/>
        <v>4.9166625694478591E-2</v>
      </c>
      <c r="I292" s="14">
        <v>342.494873046875</v>
      </c>
      <c r="J292" s="8">
        <f t="shared" si="17"/>
        <v>0.15803413873131664</v>
      </c>
      <c r="K292" s="13">
        <v>316.996337890625</v>
      </c>
      <c r="L292" s="8">
        <f t="shared" si="18"/>
        <v>0.22071798542055898</v>
      </c>
      <c r="M292" s="3">
        <v>302.9306640625</v>
      </c>
      <c r="N292" s="8">
        <f t="shared" si="19"/>
        <v>0.34281552928585007</v>
      </c>
    </row>
    <row r="293" spans="1:14" x14ac:dyDescent="0.25">
      <c r="A293" s="19" t="s">
        <v>22</v>
      </c>
      <c r="B293" s="2">
        <v>45777</v>
      </c>
      <c r="C293" s="3">
        <v>302.27</v>
      </c>
      <c r="D293" s="3">
        <v>274.98</v>
      </c>
      <c r="E293" s="3">
        <v>284.98162841796881</v>
      </c>
      <c r="F293" s="3">
        <v>344.98162841796881</v>
      </c>
      <c r="G293" t="s">
        <v>3</v>
      </c>
      <c r="H293" s="8">
        <f t="shared" si="16"/>
        <v>9.0283521355079777E-2</v>
      </c>
      <c r="I293" s="14">
        <v>327.42617797851563</v>
      </c>
      <c r="J293" s="8">
        <f t="shared" si="17"/>
        <v>8.3224196838970602E-2</v>
      </c>
      <c r="K293" s="13">
        <v>335.56292724609381</v>
      </c>
      <c r="L293" s="8">
        <f t="shared" si="18"/>
        <v>0.1101430087209906</v>
      </c>
      <c r="M293" s="3">
        <v>343.51425170898438</v>
      </c>
      <c r="N293" s="8">
        <f t="shared" si="19"/>
        <v>0.12006562028735089</v>
      </c>
    </row>
    <row r="294" spans="1:14" x14ac:dyDescent="0.25">
      <c r="A294" s="19" t="s">
        <v>22</v>
      </c>
      <c r="B294" s="2">
        <v>45808</v>
      </c>
      <c r="C294" s="3">
        <v>63.59</v>
      </c>
      <c r="D294" s="3">
        <v>265.08999999999997</v>
      </c>
      <c r="E294" s="3">
        <v>216.2762145996094</v>
      </c>
      <c r="F294" s="3">
        <v>276.27621459960938</v>
      </c>
      <c r="G294" t="s">
        <v>3</v>
      </c>
      <c r="H294" s="8">
        <f t="shared" si="16"/>
        <v>3.1687372228337782</v>
      </c>
      <c r="I294" s="14">
        <v>273.22445678710938</v>
      </c>
      <c r="J294" s="8">
        <f t="shared" si="17"/>
        <v>3.296657600048897</v>
      </c>
      <c r="K294" s="13">
        <v>298.50100708007813</v>
      </c>
      <c r="L294" s="8">
        <f t="shared" si="18"/>
        <v>3.6941501349281034</v>
      </c>
      <c r="M294" s="3">
        <v>315.09005737304688</v>
      </c>
      <c r="N294" s="8">
        <f t="shared" si="19"/>
        <v>0.79818468240426443</v>
      </c>
    </row>
    <row r="295" spans="1:14" x14ac:dyDescent="0.25">
      <c r="A295" s="19" t="s">
        <v>22</v>
      </c>
      <c r="B295" s="2">
        <v>45838</v>
      </c>
      <c r="C295" s="3">
        <v>24.06</v>
      </c>
      <c r="D295" s="3">
        <v>5.9200000000000017</v>
      </c>
      <c r="E295" s="3">
        <v>110.50035095214841</v>
      </c>
      <c r="F295" s="3">
        <v>170.50035095214841</v>
      </c>
      <c r="G295" t="s">
        <v>3</v>
      </c>
      <c r="H295" s="8">
        <f t="shared" si="16"/>
        <v>0.75394846217788858</v>
      </c>
      <c r="I295" s="14">
        <v>178.487060546875</v>
      </c>
      <c r="J295" s="8">
        <f t="shared" si="17"/>
        <v>6.4184148190721118</v>
      </c>
      <c r="K295" s="13">
        <v>176.5317077636719</v>
      </c>
      <c r="L295" s="8">
        <f t="shared" si="18"/>
        <v>6.3371449610836201</v>
      </c>
      <c r="M295" s="3">
        <v>155.9544982910156</v>
      </c>
      <c r="N295" s="8">
        <f t="shared" si="19"/>
        <v>0.84572423198012958</v>
      </c>
    </row>
    <row r="296" spans="1:14" x14ac:dyDescent="0.25">
      <c r="A296" s="19" t="s">
        <v>22</v>
      </c>
      <c r="B296" s="2">
        <v>45869</v>
      </c>
      <c r="C296" s="3">
        <v>4.91</v>
      </c>
      <c r="D296" s="3">
        <v>1.1000000000000014</v>
      </c>
      <c r="E296" s="3">
        <v>78.454635620117202</v>
      </c>
      <c r="F296" s="3">
        <v>138.45463562011719</v>
      </c>
      <c r="G296" t="s">
        <v>3</v>
      </c>
      <c r="H296" s="8">
        <f t="shared" si="16"/>
        <v>0.77596741344195486</v>
      </c>
      <c r="I296" s="14">
        <v>122.94850921630859</v>
      </c>
      <c r="J296" s="8">
        <f t="shared" si="17"/>
        <v>24.04042957562293</v>
      </c>
      <c r="K296" s="13">
        <v>107.6139373779297</v>
      </c>
      <c r="L296" s="8">
        <f t="shared" si="18"/>
        <v>20.917298854975499</v>
      </c>
      <c r="M296" s="3">
        <v>126.11460113525391</v>
      </c>
      <c r="N296" s="8">
        <f t="shared" si="19"/>
        <v>0.96106715673045517</v>
      </c>
    </row>
    <row r="297" spans="1:14" x14ac:dyDescent="0.25">
      <c r="A297" s="19" t="s">
        <v>22</v>
      </c>
      <c r="B297" s="2">
        <v>45900</v>
      </c>
      <c r="C297" s="3">
        <v>24.44</v>
      </c>
      <c r="D297" s="3">
        <v>125.9034118652344</v>
      </c>
      <c r="E297" s="3">
        <v>67.173080444335938</v>
      </c>
      <c r="F297" s="3">
        <v>127.17308044433594</v>
      </c>
      <c r="G297" t="s">
        <v>3</v>
      </c>
      <c r="H297" s="8">
        <f t="shared" si="16"/>
        <v>4.1515307637166288</v>
      </c>
      <c r="I297" s="14">
        <v>89.7669677734375</v>
      </c>
      <c r="J297" s="8">
        <f t="shared" si="17"/>
        <v>2.6729528548869679</v>
      </c>
      <c r="K297" s="13">
        <v>104.5388488769531</v>
      </c>
      <c r="L297" s="8">
        <f t="shared" si="18"/>
        <v>3.2773669753254131</v>
      </c>
      <c r="M297" s="3">
        <v>137.99851989746091</v>
      </c>
      <c r="N297" s="8">
        <f t="shared" si="19"/>
        <v>0.82289665122379563</v>
      </c>
    </row>
    <row r="298" spans="1:14" x14ac:dyDescent="0.25">
      <c r="A298" s="19" t="s">
        <v>22</v>
      </c>
      <c r="B298" s="2">
        <v>45930</v>
      </c>
      <c r="C298" s="3">
        <v>54.52</v>
      </c>
      <c r="D298" s="3">
        <v>190.02915954589801</v>
      </c>
      <c r="E298" s="3">
        <v>137.55680847167969</v>
      </c>
      <c r="F298" s="3">
        <v>197.55680847167969</v>
      </c>
      <c r="G298" t="s">
        <v>3</v>
      </c>
      <c r="H298" s="8">
        <f t="shared" si="16"/>
        <v>2.4854944891030448</v>
      </c>
      <c r="I298" s="14">
        <v>110.5377960205078</v>
      </c>
      <c r="J298" s="8">
        <f t="shared" si="17"/>
        <v>1.0274724141692553</v>
      </c>
      <c r="K298" s="13">
        <v>158.6820068359375</v>
      </c>
      <c r="L298" s="8">
        <f t="shared" si="18"/>
        <v>1.9105283718990735</v>
      </c>
      <c r="M298" s="3">
        <v>189.07164001464841</v>
      </c>
      <c r="N298" s="8">
        <f t="shared" si="19"/>
        <v>0.7116436923286007</v>
      </c>
    </row>
    <row r="299" spans="1:14" x14ac:dyDescent="0.25">
      <c r="A299" s="19" t="s">
        <v>22</v>
      </c>
      <c r="B299" s="4">
        <v>45961</v>
      </c>
      <c r="C299" s="5">
        <v>149.28</v>
      </c>
      <c r="D299" s="5">
        <v>273.21231079101602</v>
      </c>
      <c r="E299" s="5">
        <v>213.91259765625</v>
      </c>
      <c r="F299" s="5">
        <v>273.91259765625</v>
      </c>
      <c r="G299" s="6" t="s">
        <v>3</v>
      </c>
      <c r="H299" s="11">
        <f t="shared" si="16"/>
        <v>0.83020036703520916</v>
      </c>
      <c r="I299" s="15">
        <v>296.99288940429688</v>
      </c>
      <c r="J299" s="11">
        <f>IFERROR(ABS((C299-I299)/C299),0)</f>
        <v>0.98950220662042387</v>
      </c>
      <c r="K299" s="16">
        <v>254.62919616699219</v>
      </c>
      <c r="L299" s="11">
        <f t="shared" si="18"/>
        <v>0.705715408406968</v>
      </c>
      <c r="M299" s="5">
        <v>277.35140991210938</v>
      </c>
      <c r="N299" s="11">
        <f t="shared" si="19"/>
        <v>0.46176585131726666</v>
      </c>
    </row>
    <row r="300" spans="1:14" x14ac:dyDescent="0.25">
      <c r="A300" s="19" t="s">
        <v>23</v>
      </c>
      <c r="B300" s="2">
        <v>45991</v>
      </c>
      <c r="D300" s="3">
        <v>281.440673828125</v>
      </c>
      <c r="E300" s="3">
        <v>227.81503295898438</v>
      </c>
      <c r="F300" s="3">
        <v>287.81503295898438</v>
      </c>
      <c r="G300" t="s">
        <v>3</v>
      </c>
      <c r="H300" s="8"/>
      <c r="I300" s="13">
        <v>302.83648681640619</v>
      </c>
      <c r="J300" s="8"/>
      <c r="K300" s="13">
        <v>265.70822143554688</v>
      </c>
      <c r="L300" s="8"/>
      <c r="M300" s="3">
        <v>265.40603637695313</v>
      </c>
      <c r="N300" s="8"/>
    </row>
    <row r="301" spans="1:14" x14ac:dyDescent="0.25">
      <c r="A301" s="19" t="s">
        <v>23</v>
      </c>
      <c r="B301" s="2">
        <v>46022</v>
      </c>
      <c r="D301" s="3">
        <v>335.52484130859398</v>
      </c>
      <c r="E301" s="3">
        <v>258.99075317382813</v>
      </c>
      <c r="F301" s="3">
        <v>318.99075317382813</v>
      </c>
      <c r="G301" t="s">
        <v>3</v>
      </c>
      <c r="H301" s="8"/>
      <c r="I301" s="13">
        <v>257.88986206054688</v>
      </c>
      <c r="J301" s="8"/>
      <c r="K301" s="13">
        <v>256.12924194335938</v>
      </c>
      <c r="L301" s="8"/>
      <c r="M301" s="3">
        <v>283.64773559570313</v>
      </c>
      <c r="N301" s="8"/>
    </row>
    <row r="302" spans="1:14" x14ac:dyDescent="0.25">
      <c r="A302" s="19" t="s">
        <v>23</v>
      </c>
      <c r="B302" s="2">
        <v>46023</v>
      </c>
      <c r="D302" s="3">
        <v>272.83364868164063</v>
      </c>
      <c r="E302" s="3">
        <v>230.052978515625</v>
      </c>
      <c r="F302" s="3">
        <v>290.052978515625</v>
      </c>
      <c r="G302" t="s">
        <v>3</v>
      </c>
      <c r="H302" s="8"/>
      <c r="I302" s="13">
        <v>236.41029357910159</v>
      </c>
      <c r="J302" s="8"/>
      <c r="K302" s="13">
        <v>246.05029296875</v>
      </c>
      <c r="L302" s="8"/>
      <c r="M302" s="3">
        <v>256.55224609375</v>
      </c>
      <c r="N302" s="8"/>
    </row>
    <row r="303" spans="1:14" x14ac:dyDescent="0.25">
      <c r="A303" s="19" t="s">
        <v>23</v>
      </c>
      <c r="B303" s="2">
        <v>46054</v>
      </c>
      <c r="D303" s="3">
        <v>271.951171875</v>
      </c>
      <c r="E303" s="3">
        <v>234.11593627929688</v>
      </c>
      <c r="F303" s="3">
        <v>294.11593627929688</v>
      </c>
      <c r="G303" t="s">
        <v>3</v>
      </c>
      <c r="H303" s="8"/>
      <c r="I303" s="13">
        <v>284.6885986328125</v>
      </c>
      <c r="J303" s="8"/>
      <c r="K303" s="13">
        <v>264.8846435546875</v>
      </c>
      <c r="L303" s="8"/>
      <c r="M303" s="3">
        <v>257.37286376953119</v>
      </c>
      <c r="N303" s="8"/>
    </row>
    <row r="304" spans="1:14" x14ac:dyDescent="0.25">
      <c r="A304" s="19" t="s">
        <v>23</v>
      </c>
      <c r="B304" s="2">
        <v>46082</v>
      </c>
      <c r="D304" s="3">
        <f>301.098236083984+77.74</f>
        <v>378.83823608398399</v>
      </c>
      <c r="E304" s="3">
        <v>276.02883911132813</v>
      </c>
      <c r="F304" s="3">
        <v>336.02883911132813</v>
      </c>
      <c r="G304" t="s">
        <v>3</v>
      </c>
      <c r="H304" s="8"/>
      <c r="I304" s="13">
        <v>262.65875244140619</v>
      </c>
      <c r="J304" s="8"/>
      <c r="K304" s="13">
        <v>287.68972778320313</v>
      </c>
      <c r="L304" s="8"/>
      <c r="M304" s="3">
        <v>258.47506713867188</v>
      </c>
      <c r="N304" s="8"/>
    </row>
    <row r="305" spans="1:14" x14ac:dyDescent="0.25">
      <c r="A305" s="19" t="s">
        <v>23</v>
      </c>
      <c r="B305" s="2">
        <v>46113</v>
      </c>
      <c r="D305" s="3">
        <v>304.85189819335938</v>
      </c>
      <c r="E305" s="3">
        <v>271.18890380859381</v>
      </c>
      <c r="F305" s="3">
        <v>331.18890380859381</v>
      </c>
      <c r="G305" t="s">
        <v>3</v>
      </c>
      <c r="H305" s="8"/>
      <c r="I305" s="13">
        <v>237.6493225097656</v>
      </c>
      <c r="J305" s="8"/>
      <c r="K305" s="13">
        <v>278.69073486328119</v>
      </c>
      <c r="L305" s="8"/>
      <c r="M305" s="3">
        <v>274.21865844726563</v>
      </c>
      <c r="N305" s="8"/>
    </row>
    <row r="306" spans="1:14" x14ac:dyDescent="0.25">
      <c r="A306" s="19" t="s">
        <v>23</v>
      </c>
      <c r="B306" s="2">
        <v>46143</v>
      </c>
      <c r="D306" s="3">
        <v>247.12760925292969</v>
      </c>
      <c r="E306" s="3">
        <v>201.5497131347656</v>
      </c>
      <c r="F306" s="3">
        <v>261.54971313476563</v>
      </c>
      <c r="G306" t="s">
        <v>3</v>
      </c>
      <c r="H306" s="8"/>
      <c r="I306" s="13">
        <v>214.9902038574219</v>
      </c>
      <c r="J306" s="8"/>
      <c r="K306" s="13">
        <v>189.83525085449219</v>
      </c>
      <c r="L306" s="8"/>
      <c r="M306" s="3">
        <v>220.92973327636719</v>
      </c>
      <c r="N306" s="8"/>
    </row>
    <row r="307" spans="1:14" x14ac:dyDescent="0.25">
      <c r="A307" s="19" t="s">
        <v>23</v>
      </c>
      <c r="B307" s="2">
        <v>46174</v>
      </c>
      <c r="D307" s="3">
        <v>137.23829650878909</v>
      </c>
      <c r="E307" s="3">
        <v>102.53239440917969</v>
      </c>
      <c r="F307" s="3">
        <v>162.53239440917969</v>
      </c>
      <c r="G307" t="s">
        <v>3</v>
      </c>
      <c r="H307" s="8"/>
      <c r="I307" s="13">
        <v>196.72547912597659</v>
      </c>
      <c r="J307" s="8"/>
      <c r="K307" s="13">
        <v>115.5636444091797</v>
      </c>
      <c r="L307" s="8"/>
      <c r="M307" s="3">
        <v>123.3242263793945</v>
      </c>
      <c r="N307" s="8"/>
    </row>
    <row r="308" spans="1:14" x14ac:dyDescent="0.25">
      <c r="A308" s="19" t="s">
        <v>23</v>
      </c>
      <c r="B308" s="2">
        <v>46204</v>
      </c>
      <c r="D308" s="3">
        <v>107.29189300537109</v>
      </c>
      <c r="E308" s="3">
        <v>72.015815734863295</v>
      </c>
      <c r="F308" s="3">
        <v>132.01581573486328</v>
      </c>
      <c r="G308" t="s">
        <v>3</v>
      </c>
      <c r="H308" s="8"/>
      <c r="I308" s="13">
        <v>158.7974548339844</v>
      </c>
      <c r="J308" s="8"/>
      <c r="K308" s="13">
        <v>82.33697509765625</v>
      </c>
      <c r="L308" s="8"/>
      <c r="M308" s="3">
        <v>112.67601013183589</v>
      </c>
      <c r="N308" s="8"/>
    </row>
    <row r="309" spans="1:14" x14ac:dyDescent="0.25">
      <c r="A309" s="19" t="s">
        <v>23</v>
      </c>
      <c r="B309" s="2">
        <v>46235</v>
      </c>
      <c r="D309" s="3">
        <v>112.6823806762695</v>
      </c>
      <c r="E309" s="3">
        <v>49.434654235839844</v>
      </c>
      <c r="F309" s="3">
        <v>109.43465423583984</v>
      </c>
      <c r="G309" t="s">
        <v>3</v>
      </c>
      <c r="H309" s="8"/>
      <c r="I309" s="13">
        <v>113.3867645263672</v>
      </c>
      <c r="J309" s="8"/>
      <c r="K309" s="13">
        <v>91.142669677734375</v>
      </c>
      <c r="L309" s="8"/>
      <c r="M309" s="3">
        <v>105.3104553222656</v>
      </c>
      <c r="N309" s="8"/>
    </row>
    <row r="310" spans="1:14" x14ac:dyDescent="0.25">
      <c r="A310" s="19" t="s">
        <v>23</v>
      </c>
      <c r="B310" s="2">
        <v>46266</v>
      </c>
      <c r="D310" s="3">
        <v>157.48291015625</v>
      </c>
      <c r="E310" s="3">
        <v>119.39848327636719</v>
      </c>
      <c r="F310" s="3">
        <v>179.39848327636719</v>
      </c>
      <c r="G310" t="s">
        <v>3</v>
      </c>
      <c r="H310" s="8"/>
      <c r="I310" s="13">
        <v>109.5447540283203</v>
      </c>
      <c r="J310" s="8"/>
      <c r="K310" s="13">
        <v>150.02186584472659</v>
      </c>
      <c r="L310" s="8"/>
      <c r="M310" s="3">
        <v>165.1802062988281</v>
      </c>
      <c r="N310" s="8"/>
    </row>
    <row r="311" spans="1:14" x14ac:dyDescent="0.25">
      <c r="A311" s="19" t="s">
        <v>23</v>
      </c>
      <c r="B311" s="2">
        <v>46296</v>
      </c>
      <c r="D311" s="3">
        <v>246.77568054199219</v>
      </c>
      <c r="E311" s="3">
        <v>211.1781311035156</v>
      </c>
      <c r="F311" s="3">
        <v>271.17813110351563</v>
      </c>
      <c r="G311" t="s">
        <v>3</v>
      </c>
      <c r="H311" s="8"/>
      <c r="I311" s="13">
        <v>225.64949035644531</v>
      </c>
      <c r="J311" s="8"/>
      <c r="K311" s="13">
        <v>252.8967590332031</v>
      </c>
      <c r="L311" s="8"/>
      <c r="M311" s="3">
        <v>252.74188232421881</v>
      </c>
      <c r="N311" s="8"/>
    </row>
    <row r="312" spans="1:14" x14ac:dyDescent="0.25">
      <c r="A312" s="19" t="s">
        <v>23</v>
      </c>
      <c r="B312" s="2">
        <v>46327</v>
      </c>
      <c r="D312" s="3">
        <v>275.34335327148438</v>
      </c>
      <c r="E312" s="3">
        <v>218.71821594238281</v>
      </c>
      <c r="F312" s="3">
        <v>278.71821594238281</v>
      </c>
      <c r="G312" t="s">
        <v>3</v>
      </c>
      <c r="H312" s="8"/>
      <c r="I312" s="13">
        <v>281.3824462890625</v>
      </c>
      <c r="J312" s="8"/>
      <c r="K312" s="13">
        <v>278.89797973632813</v>
      </c>
      <c r="L312" s="8"/>
      <c r="M312" s="3">
        <v>285.85592651367188</v>
      </c>
      <c r="N312" s="8"/>
    </row>
    <row r="313" spans="1:14" x14ac:dyDescent="0.25">
      <c r="A313" s="19" t="s">
        <v>23</v>
      </c>
      <c r="B313" s="2">
        <v>46357</v>
      </c>
      <c r="D313" s="3">
        <v>269.914794921875</v>
      </c>
      <c r="E313" s="3">
        <v>240.89404296875</v>
      </c>
      <c r="F313" s="3">
        <v>300.89404296875</v>
      </c>
      <c r="G313" t="s">
        <v>3</v>
      </c>
      <c r="H313" s="8"/>
      <c r="I313" s="13">
        <v>282.69046020507813</v>
      </c>
      <c r="J313" s="8"/>
      <c r="K313" s="13">
        <v>271.83541870117188</v>
      </c>
      <c r="L313" s="8"/>
      <c r="M313" s="3">
        <v>283.88558959960938</v>
      </c>
      <c r="N313" s="8"/>
    </row>
    <row r="314" spans="1:14" x14ac:dyDescent="0.25">
      <c r="A314" s="19" t="s">
        <v>23</v>
      </c>
      <c r="B314" s="2">
        <v>46388</v>
      </c>
      <c r="D314" s="3">
        <v>267.55813598632813</v>
      </c>
      <c r="E314" s="3">
        <v>219.885986328125</v>
      </c>
      <c r="F314" s="3">
        <v>279.885986328125</v>
      </c>
      <c r="G314" t="s">
        <v>3</v>
      </c>
      <c r="H314" s="8"/>
      <c r="I314" s="13">
        <v>290.33200073242188</v>
      </c>
      <c r="J314" s="8"/>
      <c r="K314" s="13">
        <v>258.892822265625</v>
      </c>
      <c r="L314" s="8"/>
      <c r="M314" s="3">
        <v>256.03680419921881</v>
      </c>
      <c r="N314" s="8"/>
    </row>
    <row r="315" spans="1:14" x14ac:dyDescent="0.25">
      <c r="A315" s="19" t="s">
        <v>23</v>
      </c>
      <c r="B315" s="2">
        <v>46419</v>
      </c>
      <c r="D315" s="3">
        <v>264.108154296875</v>
      </c>
      <c r="E315" s="3">
        <v>220.55867004394531</v>
      </c>
      <c r="F315" s="3">
        <v>280.55867004394531</v>
      </c>
      <c r="G315" t="s">
        <v>3</v>
      </c>
      <c r="H315" s="8"/>
      <c r="I315" s="13">
        <v>255.90965270996091</v>
      </c>
      <c r="J315" s="8"/>
      <c r="K315" s="13">
        <v>278.30328369140619</v>
      </c>
      <c r="L315" s="8"/>
      <c r="M315" s="3">
        <v>253.19102478027341</v>
      </c>
      <c r="N315" s="8"/>
    </row>
    <row r="316" spans="1:14" x14ac:dyDescent="0.25">
      <c r="A316" s="19" t="s">
        <v>23</v>
      </c>
      <c r="B316" s="2">
        <v>46447</v>
      </c>
      <c r="D316" s="3">
        <v>340.64520263671881</v>
      </c>
      <c r="E316" s="3">
        <v>298.82916259765619</v>
      </c>
      <c r="F316" s="3">
        <v>358.82916259765619</v>
      </c>
      <c r="G316" t="s">
        <v>3</v>
      </c>
      <c r="H316" s="8"/>
      <c r="I316" s="13">
        <v>308.5880126953125</v>
      </c>
      <c r="J316" s="8"/>
      <c r="K316" s="13">
        <v>309.10565185546881</v>
      </c>
      <c r="L316" s="8"/>
      <c r="M316" s="3">
        <v>296.79647827148438</v>
      </c>
      <c r="N316" s="8"/>
    </row>
    <row r="317" spans="1:14" x14ac:dyDescent="0.25">
      <c r="A317" s="19" t="s">
        <v>23</v>
      </c>
      <c r="B317" s="2">
        <v>46478</v>
      </c>
      <c r="D317" s="3">
        <v>297.19479370117188</v>
      </c>
      <c r="E317" s="3">
        <v>257.24661254882813</v>
      </c>
      <c r="F317" s="3">
        <v>317.24661254882813</v>
      </c>
      <c r="G317" t="s">
        <v>3</v>
      </c>
      <c r="H317" s="8"/>
      <c r="I317" s="13">
        <v>296.409912109375</v>
      </c>
      <c r="J317" s="8"/>
      <c r="K317" s="13">
        <v>316.4759521484375</v>
      </c>
      <c r="L317" s="8"/>
      <c r="M317" s="3">
        <v>302.71209716796881</v>
      </c>
      <c r="N317" s="8"/>
    </row>
    <row r="318" spans="1:14" x14ac:dyDescent="0.25">
      <c r="A318" s="19" t="s">
        <v>23</v>
      </c>
      <c r="B318" s="2">
        <v>46508</v>
      </c>
      <c r="D318" s="3">
        <v>232.14082336425781</v>
      </c>
      <c r="E318" s="3">
        <v>187.02030944824219</v>
      </c>
      <c r="F318" s="3">
        <v>247.02030944824219</v>
      </c>
      <c r="G318" t="s">
        <v>3</v>
      </c>
      <c r="H318" s="8"/>
      <c r="I318" s="13">
        <v>236.03910827636719</v>
      </c>
      <c r="J318" s="8"/>
      <c r="K318" s="13">
        <v>243.41938781738281</v>
      </c>
      <c r="L318" s="8"/>
      <c r="M318" s="3">
        <v>237.49266052246091</v>
      </c>
      <c r="N318" s="8"/>
    </row>
    <row r="319" spans="1:14" x14ac:dyDescent="0.25">
      <c r="A319" s="19" t="s">
        <v>23</v>
      </c>
      <c r="B319" s="2">
        <v>46539</v>
      </c>
      <c r="D319" s="3">
        <v>135.82598876953119</v>
      </c>
      <c r="E319" s="3">
        <v>94.550575256347699</v>
      </c>
      <c r="F319" s="3">
        <v>154.55057525634771</v>
      </c>
      <c r="G319" t="s">
        <v>3</v>
      </c>
      <c r="H319" s="8"/>
      <c r="I319" s="13">
        <v>147.42741394042969</v>
      </c>
      <c r="J319" s="8"/>
      <c r="K319" s="13">
        <v>143.93885803222659</v>
      </c>
      <c r="L319" s="8"/>
      <c r="M319" s="3">
        <v>114.7042694091797</v>
      </c>
      <c r="N319" s="8"/>
    </row>
    <row r="320" spans="1:14" x14ac:dyDescent="0.25">
      <c r="A320" s="19" t="s">
        <v>23</v>
      </c>
      <c r="B320" s="2">
        <v>46569</v>
      </c>
      <c r="D320" s="3">
        <v>99.851722717285156</v>
      </c>
      <c r="E320" s="3">
        <v>65.414909362792969</v>
      </c>
      <c r="F320" s="3">
        <v>125.41490936279297</v>
      </c>
      <c r="G320" t="s">
        <v>3</v>
      </c>
      <c r="H320" s="8"/>
      <c r="I320" s="13">
        <v>117.3097381591797</v>
      </c>
      <c r="J320" s="8"/>
      <c r="K320" s="13">
        <v>104.26385498046881</v>
      </c>
      <c r="L320" s="8"/>
      <c r="M320" s="3">
        <v>110.01954650878911</v>
      </c>
      <c r="N320" s="8"/>
    </row>
    <row r="321" spans="1:14" x14ac:dyDescent="0.25">
      <c r="A321" s="19" t="s">
        <v>23</v>
      </c>
      <c r="B321" s="2">
        <v>46600</v>
      </c>
      <c r="D321" s="3">
        <v>99.477943420410156</v>
      </c>
      <c r="E321" s="3">
        <v>31.72393798828125</v>
      </c>
      <c r="F321" s="3">
        <v>91.72393798828125</v>
      </c>
      <c r="G321" t="s">
        <v>3</v>
      </c>
      <c r="H321" s="8"/>
      <c r="I321" s="13">
        <v>102.7480926513672</v>
      </c>
      <c r="J321" s="8"/>
      <c r="K321" s="13">
        <v>109.7974853515625</v>
      </c>
      <c r="L321" s="8"/>
      <c r="M321" s="3">
        <v>127.2950744628906</v>
      </c>
      <c r="N321" s="8"/>
    </row>
    <row r="322" spans="1:14" x14ac:dyDescent="0.25">
      <c r="A322" s="19" t="s">
        <v>23</v>
      </c>
      <c r="B322" s="2">
        <v>46631</v>
      </c>
      <c r="D322" s="3">
        <v>154.07441711425781</v>
      </c>
      <c r="E322" s="3">
        <v>101.33811950683591</v>
      </c>
      <c r="F322" s="3">
        <v>161.33811950683591</v>
      </c>
      <c r="G322" t="s">
        <v>3</v>
      </c>
      <c r="H322" s="8"/>
      <c r="I322" s="13">
        <v>133.93244934082031</v>
      </c>
      <c r="J322" s="8"/>
      <c r="K322" s="13">
        <v>175.23612976074219</v>
      </c>
      <c r="L322" s="8"/>
      <c r="M322" s="3">
        <v>178.39237976074219</v>
      </c>
      <c r="N322" s="8"/>
    </row>
    <row r="323" spans="1:14" x14ac:dyDescent="0.25">
      <c r="A323" s="19" t="s">
        <v>23</v>
      </c>
      <c r="B323" s="2">
        <v>46661</v>
      </c>
      <c r="D323" s="3">
        <v>238.2347412109375</v>
      </c>
      <c r="E323" s="3">
        <v>208.5144958496094</v>
      </c>
      <c r="F323" s="3">
        <v>268.51449584960938</v>
      </c>
      <c r="G323" t="s">
        <v>3</v>
      </c>
      <c r="H323" s="8"/>
      <c r="I323" s="13">
        <v>268.073974609375</v>
      </c>
      <c r="J323" s="8"/>
      <c r="K323" s="13">
        <v>273.20654296875</v>
      </c>
      <c r="L323" s="8"/>
      <c r="M323" s="3">
        <v>269.24899291992188</v>
      </c>
      <c r="N323" s="8"/>
    </row>
    <row r="324" spans="1:14" x14ac:dyDescent="0.25">
      <c r="B324" s="2">
        <v>46692</v>
      </c>
      <c r="D324" s="3">
        <v>269.10067749023438</v>
      </c>
      <c r="E324" s="3">
        <v>209.56488037109381</v>
      </c>
      <c r="F324" s="3">
        <v>269.56488037109381</v>
      </c>
      <c r="G324" t="s">
        <v>3</v>
      </c>
      <c r="H324" s="8"/>
      <c r="J324" s="8"/>
      <c r="L324" s="8"/>
      <c r="N324" s="8"/>
    </row>
    <row r="325" spans="1:14" x14ac:dyDescent="0.25">
      <c r="B325" s="2">
        <v>46722</v>
      </c>
      <c r="D325" s="3">
        <v>254.39329528808591</v>
      </c>
      <c r="E325" s="3">
        <v>222.63005065917969</v>
      </c>
      <c r="F325" s="3">
        <v>282.63005065917969</v>
      </c>
      <c r="G325" t="s">
        <v>3</v>
      </c>
      <c r="H325" s="8"/>
      <c r="J325" s="8"/>
      <c r="L325" s="8"/>
      <c r="N325" s="8"/>
    </row>
    <row r="326" spans="1:14" x14ac:dyDescent="0.25">
      <c r="B326" s="2">
        <v>46753</v>
      </c>
      <c r="D326" s="3">
        <v>262.36264038085938</v>
      </c>
      <c r="E326" s="3">
        <v>209.7330017089844</v>
      </c>
      <c r="F326" s="3">
        <v>269.73300170898438</v>
      </c>
      <c r="G326" t="s">
        <v>3</v>
      </c>
      <c r="H326" s="8"/>
      <c r="J326" s="8"/>
      <c r="L326" s="8"/>
      <c r="N326" s="8"/>
    </row>
    <row r="327" spans="1:14" x14ac:dyDescent="0.25">
      <c r="B327" s="2">
        <v>46784</v>
      </c>
      <c r="D327" s="3">
        <v>266.46572875976563</v>
      </c>
      <c r="E327" s="3">
        <v>221.5174255371094</v>
      </c>
      <c r="F327" s="3">
        <v>281.51742553710938</v>
      </c>
      <c r="G327" t="s">
        <v>3</v>
      </c>
      <c r="H327" s="8"/>
      <c r="J327" s="8"/>
      <c r="L327" s="8"/>
      <c r="N327" s="8"/>
    </row>
    <row r="328" spans="1:14" x14ac:dyDescent="0.25">
      <c r="B328" s="2">
        <v>46813</v>
      </c>
      <c r="D328" s="3">
        <v>278.58477783203119</v>
      </c>
      <c r="E328" s="3">
        <v>250.86972045898438</v>
      </c>
      <c r="F328" s="3">
        <v>310.86972045898438</v>
      </c>
      <c r="G328" t="s">
        <v>3</v>
      </c>
      <c r="H328" s="8"/>
      <c r="J328" s="8"/>
      <c r="L328" s="8"/>
      <c r="N328" s="8"/>
    </row>
    <row r="329" spans="1:14" x14ac:dyDescent="0.25">
      <c r="B329" s="2">
        <v>46844</v>
      </c>
      <c r="D329" s="3">
        <v>294.27822875976563</v>
      </c>
      <c r="E329" s="3">
        <v>263.8458251953125</v>
      </c>
      <c r="F329" s="3">
        <v>323.8458251953125</v>
      </c>
      <c r="G329" t="s">
        <v>3</v>
      </c>
      <c r="H329" s="8"/>
      <c r="J329" s="8"/>
      <c r="L329" s="8"/>
      <c r="N329" s="8"/>
    </row>
    <row r="330" spans="1:14" x14ac:dyDescent="0.25">
      <c r="B330" s="2">
        <v>46874</v>
      </c>
      <c r="D330" s="3">
        <v>254.80729675292969</v>
      </c>
      <c r="E330" s="3">
        <v>185.13301086425781</v>
      </c>
      <c r="F330" s="3">
        <v>245.13301086425781</v>
      </c>
      <c r="G330" t="s">
        <v>3</v>
      </c>
      <c r="H330" s="8"/>
      <c r="J330" s="8"/>
      <c r="L330" s="8"/>
      <c r="N330" s="8"/>
    </row>
    <row r="331" spans="1:14" x14ac:dyDescent="0.25">
      <c r="B331" s="2">
        <v>46905</v>
      </c>
      <c r="D331" s="3">
        <v>109.0762023925781</v>
      </c>
      <c r="E331" s="3">
        <v>83.438995361328097</v>
      </c>
      <c r="F331" s="3">
        <v>143.4389953613281</v>
      </c>
      <c r="G331" t="s">
        <v>3</v>
      </c>
      <c r="H331" s="8"/>
      <c r="J331" s="8"/>
      <c r="L331" s="8"/>
      <c r="N331" s="8"/>
    </row>
    <row r="332" spans="1:14" x14ac:dyDescent="0.25">
      <c r="B332" s="2">
        <v>46935</v>
      </c>
      <c r="D332" s="3">
        <v>94.91357421875</v>
      </c>
      <c r="E332" s="3">
        <v>46.587455749511719</v>
      </c>
      <c r="F332" s="3">
        <v>106.58745574951172</v>
      </c>
      <c r="G332" t="s">
        <v>3</v>
      </c>
      <c r="H332" s="8"/>
      <c r="J332" s="8"/>
      <c r="L332" s="8"/>
      <c r="N332" s="8"/>
    </row>
    <row r="333" spans="1:14" x14ac:dyDescent="0.25">
      <c r="B333" s="2">
        <v>46966</v>
      </c>
      <c r="D333" s="3">
        <v>115.57350921630859</v>
      </c>
      <c r="E333" s="3">
        <v>33.057643890380859</v>
      </c>
      <c r="F333" s="3">
        <v>93.057643890380859</v>
      </c>
      <c r="G333" t="s">
        <v>3</v>
      </c>
      <c r="H333" s="8"/>
      <c r="J333" s="8"/>
      <c r="L333" s="8"/>
      <c r="N333" s="8"/>
    </row>
    <row r="334" spans="1:14" x14ac:dyDescent="0.25">
      <c r="B334" s="2">
        <v>46997</v>
      </c>
      <c r="D334" s="3">
        <v>130.59004211425781</v>
      </c>
      <c r="E334" s="3">
        <v>117.67127990722659</v>
      </c>
      <c r="F334" s="3">
        <v>177.67127990722659</v>
      </c>
      <c r="G334" t="s">
        <v>3</v>
      </c>
      <c r="H334" s="8"/>
      <c r="J334" s="8"/>
      <c r="L334" s="8"/>
      <c r="N334" s="8"/>
    </row>
    <row r="335" spans="1:14" x14ac:dyDescent="0.25">
      <c r="B335" s="2">
        <v>47027</v>
      </c>
      <c r="D335" s="3">
        <v>234.9978942871094</v>
      </c>
      <c r="E335" s="3">
        <v>175.14356994628909</v>
      </c>
      <c r="F335" s="3">
        <v>235.14356994628909</v>
      </c>
      <c r="G335" t="s">
        <v>3</v>
      </c>
      <c r="H335" s="8"/>
      <c r="J335" s="8"/>
      <c r="L335" s="8"/>
      <c r="N335" s="8"/>
    </row>
    <row r="336" spans="1:14" x14ac:dyDescent="0.25">
      <c r="B336" s="2">
        <v>47058</v>
      </c>
      <c r="D336" s="3">
        <v>264.25946044921881</v>
      </c>
      <c r="E336" s="3">
        <v>186.92860412597659</v>
      </c>
      <c r="F336" s="3">
        <v>246.92860412597659</v>
      </c>
      <c r="G336" t="s">
        <v>3</v>
      </c>
      <c r="H336" s="8"/>
      <c r="J336" s="8"/>
      <c r="L336" s="8"/>
      <c r="N336" s="8"/>
    </row>
    <row r="337" spans="2:14" x14ac:dyDescent="0.25">
      <c r="B337" s="2">
        <v>47088</v>
      </c>
      <c r="D337" s="3">
        <v>264.4415283203125</v>
      </c>
      <c r="E337" s="3">
        <v>235.465087890625</v>
      </c>
      <c r="F337" s="3">
        <v>295.465087890625</v>
      </c>
      <c r="G337" t="s">
        <v>3</v>
      </c>
      <c r="H337" s="8"/>
      <c r="J337" s="8"/>
      <c r="L337" s="8"/>
      <c r="N337" s="8"/>
    </row>
    <row r="338" spans="2:14" x14ac:dyDescent="0.25">
      <c r="B338" s="2">
        <v>47119</v>
      </c>
      <c r="D338" s="3">
        <v>247.84552001953119</v>
      </c>
      <c r="E338" s="3">
        <v>195.24205017089841</v>
      </c>
      <c r="F338" s="3">
        <v>255.24205017089841</v>
      </c>
      <c r="G338" t="s">
        <v>3</v>
      </c>
      <c r="H338" s="8"/>
      <c r="J338" s="8"/>
      <c r="L338" s="8"/>
      <c r="N338" s="8"/>
    </row>
    <row r="339" spans="2:14" x14ac:dyDescent="0.25">
      <c r="B339" s="2">
        <v>47150</v>
      </c>
      <c r="D339" s="3">
        <v>258.63604736328119</v>
      </c>
      <c r="E339" s="3">
        <v>207.5185852050781</v>
      </c>
      <c r="F339" s="3">
        <v>267.51858520507813</v>
      </c>
      <c r="G339" t="s">
        <v>3</v>
      </c>
      <c r="H339" s="8"/>
      <c r="J339" s="8"/>
      <c r="L339" s="8"/>
      <c r="N339" s="8"/>
    </row>
    <row r="340" spans="2:14" x14ac:dyDescent="0.25">
      <c r="B340" s="2">
        <v>47178</v>
      </c>
      <c r="D340" s="3">
        <v>273.62179565429688</v>
      </c>
      <c r="E340" s="3">
        <v>245.48519897460938</v>
      </c>
      <c r="F340" s="3">
        <v>305.48519897460938</v>
      </c>
      <c r="G340" t="s">
        <v>3</v>
      </c>
      <c r="H340" s="8"/>
      <c r="J340" s="8"/>
      <c r="L340" s="8"/>
      <c r="N340" s="8"/>
    </row>
    <row r="341" spans="2:14" x14ac:dyDescent="0.25">
      <c r="B341" s="2">
        <v>47209</v>
      </c>
      <c r="D341" s="3">
        <v>287.00460815429688</v>
      </c>
      <c r="E341" s="3">
        <v>250.20748901367188</v>
      </c>
      <c r="F341" s="3">
        <v>310.20748901367188</v>
      </c>
      <c r="G341" t="s">
        <v>3</v>
      </c>
      <c r="H341" s="8"/>
      <c r="J341" s="8"/>
      <c r="L341" s="8"/>
      <c r="N341" s="8"/>
    </row>
    <row r="342" spans="2:14" x14ac:dyDescent="0.25">
      <c r="B342" s="2">
        <v>47239</v>
      </c>
      <c r="D342" s="3">
        <v>239.81805419921881</v>
      </c>
      <c r="E342" s="3">
        <v>170.21302795410159</v>
      </c>
      <c r="F342" s="3">
        <v>230.21302795410159</v>
      </c>
      <c r="G342" t="s">
        <v>3</v>
      </c>
      <c r="H342" s="8"/>
      <c r="J342" s="8"/>
      <c r="L342" s="8"/>
      <c r="N342" s="8"/>
    </row>
    <row r="343" spans="2:14" x14ac:dyDescent="0.25">
      <c r="B343" s="2">
        <v>47270</v>
      </c>
      <c r="D343" s="3">
        <v>107.2994689941406</v>
      </c>
      <c r="E343" s="3">
        <v>75.479362487792997</v>
      </c>
      <c r="F343" s="3">
        <v>135.479362487793</v>
      </c>
      <c r="G343" t="s">
        <v>3</v>
      </c>
      <c r="H343" s="8"/>
      <c r="J343" s="8"/>
      <c r="L343" s="8"/>
      <c r="N343" s="8"/>
    </row>
    <row r="344" spans="2:14" x14ac:dyDescent="0.25">
      <c r="B344" s="2">
        <v>47300</v>
      </c>
      <c r="D344" s="3">
        <v>87.740577697753906</v>
      </c>
      <c r="E344" s="3">
        <v>40.308395385742188</v>
      </c>
      <c r="F344" s="3">
        <v>100.30839538574219</v>
      </c>
      <c r="G344" t="s">
        <v>3</v>
      </c>
      <c r="H344" s="8"/>
      <c r="J344" s="8"/>
      <c r="L344" s="8"/>
      <c r="N344" s="8"/>
    </row>
    <row r="345" spans="2:14" x14ac:dyDescent="0.25">
      <c r="B345" s="2">
        <v>47331</v>
      </c>
      <c r="D345" s="3">
        <v>102.34132385253911</v>
      </c>
      <c r="E345" s="3">
        <v>15.297924041748047</v>
      </c>
      <c r="F345" s="3">
        <v>75.297924041748047</v>
      </c>
      <c r="G345" t="s">
        <v>3</v>
      </c>
      <c r="H345" s="8"/>
      <c r="J345" s="8"/>
      <c r="L345" s="8"/>
      <c r="N345" s="8"/>
    </row>
    <row r="346" spans="2:14" x14ac:dyDescent="0.25">
      <c r="B346" s="2">
        <v>47362</v>
      </c>
      <c r="D346" s="3">
        <v>126.90110015869141</v>
      </c>
      <c r="E346" s="3">
        <v>99.418762207031193</v>
      </c>
      <c r="F346" s="3">
        <v>159.41876220703119</v>
      </c>
      <c r="G346" t="s">
        <v>3</v>
      </c>
      <c r="H346" s="8"/>
      <c r="J346" s="8"/>
      <c r="L346" s="8"/>
      <c r="N346" s="8"/>
    </row>
    <row r="347" spans="2:14" x14ac:dyDescent="0.25">
      <c r="B347" s="2">
        <v>47392</v>
      </c>
      <c r="D347" s="3">
        <v>226.66246032714841</v>
      </c>
      <c r="E347" s="3">
        <v>172.33079528808591</v>
      </c>
      <c r="F347" s="3">
        <v>232.33079528808591</v>
      </c>
      <c r="G347" t="s">
        <v>3</v>
      </c>
      <c r="H347" s="8"/>
      <c r="J347" s="8"/>
      <c r="L347" s="8"/>
      <c r="N347" s="8"/>
    </row>
    <row r="348" spans="2:14" x14ac:dyDescent="0.25">
      <c r="B348" s="2">
        <v>47423</v>
      </c>
      <c r="D348" s="3">
        <v>258.30841064453119</v>
      </c>
      <c r="E348" s="3">
        <v>177.884033203125</v>
      </c>
      <c r="F348" s="3">
        <v>237.884033203125</v>
      </c>
      <c r="G348" t="s">
        <v>3</v>
      </c>
      <c r="H348" s="8"/>
      <c r="J348" s="8"/>
      <c r="L348" s="8"/>
      <c r="N348" s="8"/>
    </row>
    <row r="349" spans="2:14" x14ac:dyDescent="0.25">
      <c r="B349" s="2">
        <v>47453</v>
      </c>
      <c r="D349" s="3">
        <v>248.75077819824219</v>
      </c>
      <c r="E349" s="3">
        <v>217.54060363769531</v>
      </c>
      <c r="F349" s="3">
        <v>277.54060363769531</v>
      </c>
      <c r="G349" t="s">
        <v>3</v>
      </c>
      <c r="H349" s="8"/>
      <c r="J349" s="8"/>
      <c r="L349" s="8"/>
      <c r="N349" s="8"/>
    </row>
    <row r="350" spans="2:14" x14ac:dyDescent="0.25">
      <c r="B350" s="2">
        <v>47484</v>
      </c>
      <c r="D350" s="3">
        <v>242.4876708984375</v>
      </c>
      <c r="E350" s="3">
        <v>185.06455993652341</v>
      </c>
      <c r="F350" s="3">
        <v>245.06455993652341</v>
      </c>
      <c r="G350" t="s">
        <v>3</v>
      </c>
      <c r="H350" s="8"/>
      <c r="J350" s="8"/>
      <c r="L350" s="8"/>
      <c r="N350" s="8"/>
    </row>
    <row r="351" spans="2:14" x14ac:dyDescent="0.25">
      <c r="B351" s="2">
        <v>47515</v>
      </c>
      <c r="D351" s="3">
        <v>250.80012512207031</v>
      </c>
      <c r="E351" s="3">
        <v>193.74070739746091</v>
      </c>
      <c r="F351" s="3">
        <v>253.74070739746091</v>
      </c>
      <c r="G351" t="s">
        <v>3</v>
      </c>
      <c r="H351" s="8"/>
      <c r="J351" s="8"/>
      <c r="L351" s="8"/>
      <c r="N351" s="8"/>
    </row>
    <row r="352" spans="2:14" x14ac:dyDescent="0.25">
      <c r="B352" s="2">
        <v>47543</v>
      </c>
      <c r="D352" s="3">
        <v>313.12179565429688</v>
      </c>
      <c r="E352" s="3">
        <v>268.39794921875</v>
      </c>
      <c r="F352" s="3">
        <v>328.39794921875</v>
      </c>
      <c r="G352" t="s">
        <v>3</v>
      </c>
      <c r="H352" s="8"/>
      <c r="J352" s="8"/>
      <c r="L352" s="8"/>
      <c r="N352" s="8"/>
    </row>
    <row r="353" spans="2:16" x14ac:dyDescent="0.25">
      <c r="B353" s="2">
        <v>47574</v>
      </c>
      <c r="D353" s="3">
        <v>279.53936767578119</v>
      </c>
      <c r="E353" s="3">
        <v>236.41482543945313</v>
      </c>
      <c r="F353" s="3">
        <v>296.41482543945313</v>
      </c>
      <c r="G353" t="s">
        <v>3</v>
      </c>
      <c r="H353" s="8"/>
      <c r="J353" s="8"/>
      <c r="L353" s="8"/>
      <c r="N353" s="8"/>
    </row>
    <row r="354" spans="2:16" x14ac:dyDescent="0.25">
      <c r="B354" s="2">
        <v>47604</v>
      </c>
      <c r="D354" s="3">
        <v>224.82554626464841</v>
      </c>
      <c r="E354" s="3">
        <v>155.48651123046881</v>
      </c>
      <c r="F354" s="3">
        <v>215.48651123046881</v>
      </c>
      <c r="G354" t="s">
        <v>3</v>
      </c>
      <c r="H354" s="8"/>
      <c r="J354" s="8"/>
      <c r="L354" s="8"/>
      <c r="N354" s="8"/>
    </row>
    <row r="355" spans="2:16" x14ac:dyDescent="0.25">
      <c r="B355" s="2">
        <v>47635</v>
      </c>
      <c r="D355" s="3">
        <v>105.70729827880859</v>
      </c>
      <c r="E355" s="3">
        <v>67.511474609375</v>
      </c>
      <c r="F355" s="3">
        <v>127.511474609375</v>
      </c>
      <c r="G355" t="s">
        <v>3</v>
      </c>
      <c r="H355" s="8"/>
      <c r="J355" s="8"/>
      <c r="L355" s="8"/>
      <c r="N355" s="8"/>
    </row>
    <row r="356" spans="2:16" x14ac:dyDescent="0.25">
      <c r="B356" s="2">
        <v>47665</v>
      </c>
      <c r="D356" s="3">
        <v>80.43499755859375</v>
      </c>
      <c r="E356" s="3">
        <v>33.869590759277337</v>
      </c>
      <c r="F356" s="3">
        <v>93.869590759277344</v>
      </c>
      <c r="G356" t="s">
        <v>3</v>
      </c>
      <c r="H356" s="8"/>
      <c r="J356" s="8"/>
      <c r="L356" s="8"/>
      <c r="N356" s="8"/>
    </row>
    <row r="357" spans="2:16" x14ac:dyDescent="0.25">
      <c r="B357" s="2">
        <v>47696</v>
      </c>
      <c r="D357" s="3">
        <v>89.120307922363281</v>
      </c>
      <c r="E357" s="3">
        <v>-2.4405040740966797</v>
      </c>
      <c r="F357" s="3">
        <v>57.55949592590332</v>
      </c>
      <c r="G357" t="s">
        <v>3</v>
      </c>
      <c r="H357" s="8"/>
      <c r="J357" s="8"/>
      <c r="L357" s="8"/>
      <c r="N357" s="8"/>
    </row>
    <row r="358" spans="2:16" x14ac:dyDescent="0.25">
      <c r="B358" s="2">
        <v>47727</v>
      </c>
      <c r="D358" s="3">
        <v>123.3548202514648</v>
      </c>
      <c r="E358" s="3">
        <v>81.260368347167997</v>
      </c>
      <c r="F358" s="3">
        <v>141.260368347168</v>
      </c>
      <c r="G358" t="s">
        <v>3</v>
      </c>
      <c r="H358" s="8"/>
      <c r="J358" s="8"/>
      <c r="L358" s="8"/>
      <c r="N358" s="8"/>
    </row>
    <row r="359" spans="2:16" x14ac:dyDescent="0.25">
      <c r="B359" s="2">
        <v>47757</v>
      </c>
      <c r="D359" s="3">
        <v>218.2258605957031</v>
      </c>
      <c r="E359" s="3">
        <v>169.5963439941406</v>
      </c>
      <c r="F359" s="3">
        <v>229.5963439941406</v>
      </c>
      <c r="G359" t="s">
        <v>3</v>
      </c>
      <c r="H359" s="8"/>
      <c r="J359" s="8"/>
      <c r="L359" s="8"/>
      <c r="N359" s="8"/>
    </row>
    <row r="361" spans="2:16" x14ac:dyDescent="0.25">
      <c r="F361"/>
    </row>
    <row r="362" spans="2:16" x14ac:dyDescent="0.25">
      <c r="F362" s="18" t="s">
        <v>11</v>
      </c>
      <c r="G362" s="18"/>
      <c r="I362" s="18" t="s">
        <v>12</v>
      </c>
      <c r="J362" s="18"/>
      <c r="L362" s="18" t="s">
        <v>16</v>
      </c>
      <c r="M362" s="18"/>
      <c r="O362" s="18" t="s">
        <v>19</v>
      </c>
      <c r="P362" s="18"/>
    </row>
    <row r="363" spans="2:16" x14ac:dyDescent="0.25">
      <c r="F363" s="9" t="s">
        <v>5</v>
      </c>
      <c r="G363" s="9" t="s">
        <v>6</v>
      </c>
      <c r="I363" s="9" t="s">
        <v>5</v>
      </c>
      <c r="J363" s="9" t="s">
        <v>6</v>
      </c>
      <c r="L363" s="9" t="s">
        <v>5</v>
      </c>
      <c r="M363" s="9" t="s">
        <v>6</v>
      </c>
      <c r="O363" s="9" t="s">
        <v>5</v>
      </c>
      <c r="P363" s="9" t="s">
        <v>6</v>
      </c>
    </row>
    <row r="364" spans="2:16" x14ac:dyDescent="0.25">
      <c r="F364" s="10">
        <f>AVERAGE(H2:H299)</f>
        <v>0.2235665643353662</v>
      </c>
      <c r="G364" s="10">
        <f>1-F364</f>
        <v>0.77643343566463385</v>
      </c>
      <c r="I364" s="10">
        <f>AVERAGE(J2:J299)</f>
        <v>0.31009357947580346</v>
      </c>
      <c r="J364" s="10">
        <f>1-I364</f>
        <v>0.68990642052419648</v>
      </c>
      <c r="L364" s="10">
        <f>AVERAGE(L2:L299)</f>
        <v>0.32225616160570286</v>
      </c>
      <c r="M364" s="10">
        <f>1-L364</f>
        <v>0.67774383839429708</v>
      </c>
      <c r="O364" s="17">
        <f>AVERAGE(N2:N299)</f>
        <v>0.16093574126582874</v>
      </c>
      <c r="P364" s="17">
        <f>1-O364</f>
        <v>0.83906425873417123</v>
      </c>
    </row>
  </sheetData>
  <autoFilter ref="B1:G359" xr:uid="{00000000-0001-0000-0000-000000000000}"/>
  <mergeCells count="4">
    <mergeCell ref="F362:G362"/>
    <mergeCell ref="I362:J362"/>
    <mergeCell ref="L362:M362"/>
    <mergeCell ref="O362:P362"/>
  </mergeCells>
  <phoneticPr fontId="2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0754b47-c413-4aa1-bfc3-c33089241f4f}" enabled="1" method="Standard" siteId="{e339bd4b-2e3b-4035-a452-2112d502f2f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XAVIER SOLIZ VILLAFUERTE</cp:lastModifiedBy>
  <dcterms:created xsi:type="dcterms:W3CDTF">2024-10-27T02:32:42Z</dcterms:created>
  <dcterms:modified xsi:type="dcterms:W3CDTF">2025-11-24T01:23:54Z</dcterms:modified>
</cp:coreProperties>
</file>